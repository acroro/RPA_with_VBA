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91AF92AE-3E53-454F-B5E3-8A7A14070C4D}" xr6:coauthVersionLast="47" xr6:coauthVersionMax="47" xr10:uidLastSave="{00000000-0000-0000-0000-000000000000}"/>
  <bookViews>
    <workbookView xWindow="4065" yWindow="345" windowWidth="17325" windowHeight="14730" tabRatio="786" xr2:uid="{5D8A24CA-F3A2-4ECC-92FB-4776724901B5}"/>
  </bookViews>
  <sheets>
    <sheet name="メイン" sheetId="3" r:id="rId1"/>
    <sheet name="●年月日置換" sheetId="11" r:id="rId2"/>
    <sheet name="●フォルダ巡回" sheetId="6" r:id="rId3"/>
    <sheet name="●Excelコピー" sheetId="5" r:id="rId4"/>
    <sheet name="●Access" sheetId="7" r:id="rId5"/>
    <sheet name="●Template" sheetId="9" r:id="rId6"/>
    <sheet name="ログ" sheetId="4" r:id="rId7"/>
    <sheet name="アクション情報" sheetId="2" r:id="rId8"/>
  </sheets>
  <functionGroups builtInGroupCount="19"/>
  <definedNames>
    <definedName name="_xleta.CELL" hidden="1" xlm="1">#NAME?</definedName>
    <definedName name="_xleta.NOW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11" l="1"/>
  <c r="E2" i="11"/>
  <c r="G15" i="11"/>
  <c r="C16" i="11"/>
  <c r="C8" i="11"/>
  <c r="C10" i="11"/>
  <c r="C9" i="11"/>
  <c r="C11" i="11"/>
  <c r="AE11" i="11" s="1"/>
  <c r="C7" i="11"/>
  <c r="AE7" i="11" s="1"/>
  <c r="C12" i="11"/>
  <c r="AE12" i="11" s="1"/>
  <c r="C6" i="11"/>
  <c r="AE6" i="11" s="1"/>
  <c r="C5" i="11"/>
  <c r="AA5" i="11" s="1"/>
  <c r="AE18" i="11"/>
  <c r="AA18" i="11"/>
  <c r="AB18" i="11"/>
  <c r="AC18" i="11"/>
  <c r="AD18" i="11"/>
  <c r="C15" i="11"/>
  <c r="AD15" i="11" s="1"/>
  <c r="C13" i="11"/>
  <c r="AA13" i="11" s="1"/>
  <c r="C4" i="11"/>
  <c r="AE4" i="11" s="1"/>
  <c r="AA4" i="9"/>
  <c r="AB4" i="9"/>
  <c r="AC4" i="9"/>
  <c r="AD4" i="9"/>
  <c r="C3" i="11"/>
  <c r="AA3" i="11" s="1"/>
  <c r="C14" i="11"/>
  <c r="AA14" i="11" s="1"/>
  <c r="C3" i="9"/>
  <c r="AA3" i="9" s="1"/>
  <c r="C17" i="11"/>
  <c r="AA17" i="11" s="1"/>
  <c r="C2" i="11"/>
  <c r="AA2" i="11" s="1"/>
  <c r="A5" i="6"/>
  <c r="C5" i="6"/>
  <c r="AB5" i="6" s="1"/>
  <c r="A4" i="6"/>
  <c r="C4" i="6"/>
  <c r="AA4" i="6" s="1"/>
  <c r="A3" i="6"/>
  <c r="C3" i="6"/>
  <c r="AA3" i="6" s="1"/>
  <c r="E2" i="9"/>
  <c r="C2" i="9"/>
  <c r="AB2" i="9" s="1"/>
  <c r="C3" i="7"/>
  <c r="C4" i="7"/>
  <c r="C5" i="7"/>
  <c r="C6" i="7"/>
  <c r="C7" i="7"/>
  <c r="C8" i="7"/>
  <c r="C2" i="7"/>
  <c r="E8" i="5"/>
  <c r="E6" i="7"/>
  <c r="E2" i="5"/>
  <c r="E2" i="7"/>
  <c r="E2" i="6"/>
  <c r="C2" i="6"/>
  <c r="AC2" i="6" s="1"/>
  <c r="A2" i="6"/>
  <c r="A11" i="5"/>
  <c r="A12" i="5"/>
  <c r="A13" i="5"/>
  <c r="C11" i="5"/>
  <c r="AA11" i="5" s="1"/>
  <c r="C12" i="5"/>
  <c r="AC12" i="5" s="1"/>
  <c r="C13" i="5"/>
  <c r="AA13" i="5" s="1"/>
  <c r="A14" i="5"/>
  <c r="A15" i="5"/>
  <c r="C14" i="5"/>
  <c r="AA14" i="5" s="1"/>
  <c r="C15" i="5"/>
  <c r="AA15" i="5" s="1"/>
  <c r="A17" i="5"/>
  <c r="C17" i="5"/>
  <c r="AB17" i="5" s="1"/>
  <c r="A19" i="5"/>
  <c r="C19" i="5"/>
  <c r="AB19" i="5" s="1"/>
  <c r="A16" i="5"/>
  <c r="C16" i="5"/>
  <c r="AA16" i="5" s="1"/>
  <c r="A18" i="5"/>
  <c r="C18" i="5"/>
  <c r="AA18" i="5" s="1"/>
  <c r="C10" i="5"/>
  <c r="AA10" i="5" s="1"/>
  <c r="C20" i="5"/>
  <c r="C21" i="5"/>
  <c r="A20" i="5"/>
  <c r="A21" i="5"/>
  <c r="A4" i="5"/>
  <c r="A5" i="5"/>
  <c r="A6" i="5"/>
  <c r="A7" i="5"/>
  <c r="A8" i="5"/>
  <c r="A9" i="5"/>
  <c r="A10" i="5"/>
  <c r="A3" i="5"/>
  <c r="C3" i="5"/>
  <c r="AB3" i="5" s="1"/>
  <c r="C4" i="5"/>
  <c r="AB4" i="5" s="1"/>
  <c r="C5" i="5"/>
  <c r="AA5" i="5" s="1"/>
  <c r="C6" i="5"/>
  <c r="AA6" i="5" s="1"/>
  <c r="C7" i="5"/>
  <c r="AA7" i="5" s="1"/>
  <c r="C8" i="5"/>
  <c r="AA8" i="5" s="1"/>
  <c r="C9" i="5"/>
  <c r="AD9" i="5" s="1"/>
  <c r="C2" i="5"/>
  <c r="AA2" i="5" s="1"/>
  <c r="A2" i="5"/>
  <c r="AE5" i="11" l="1"/>
  <c r="AD5" i="11"/>
  <c r="AC5" i="11"/>
  <c r="AB5" i="11"/>
  <c r="AE17" i="11"/>
  <c r="AE13" i="11"/>
  <c r="AE15" i="11"/>
  <c r="AE14" i="11"/>
  <c r="AE3" i="11"/>
  <c r="AE2" i="11"/>
  <c r="AC2" i="9"/>
  <c r="AA2" i="9"/>
  <c r="AD2" i="9"/>
  <c r="AD17" i="11"/>
  <c r="AB17" i="11"/>
  <c r="AC14" i="11"/>
  <c r="AC17" i="11"/>
  <c r="AD14" i="11"/>
  <c r="AD3" i="9"/>
  <c r="AB14" i="11"/>
  <c r="AC15" i="11"/>
  <c r="AC3" i="9"/>
  <c r="AB3" i="9"/>
  <c r="AD13" i="11"/>
  <c r="AC13" i="11"/>
  <c r="AB13" i="11"/>
  <c r="AD4" i="11"/>
  <c r="AB15" i="11"/>
  <c r="AC4" i="11"/>
  <c r="AA15" i="11"/>
  <c r="AB4" i="11"/>
  <c r="AA4" i="11"/>
  <c r="AD3" i="11"/>
  <c r="AB2" i="11"/>
  <c r="AC3" i="11"/>
  <c r="AC2" i="11"/>
  <c r="AB3" i="11"/>
  <c r="AD2" i="11"/>
  <c r="AE4" i="6"/>
  <c r="AD4" i="6"/>
  <c r="AC4" i="6"/>
  <c r="AB4" i="6"/>
  <c r="AD5" i="6"/>
  <c r="AE5" i="6"/>
  <c r="AA5" i="6"/>
  <c r="AC5" i="6"/>
  <c r="AE3" i="6"/>
  <c r="AD3" i="6"/>
  <c r="AC3" i="6"/>
  <c r="AB3" i="6"/>
  <c r="AB2" i="6"/>
  <c r="AD2" i="6"/>
  <c r="AD11" i="5"/>
  <c r="AB11" i="5"/>
  <c r="AE12" i="5"/>
  <c r="AE11" i="5"/>
  <c r="AC11" i="5"/>
  <c r="AE6" i="6"/>
  <c r="AA2" i="6"/>
  <c r="AE2" i="6"/>
  <c r="AD12" i="5"/>
  <c r="AE17" i="5"/>
  <c r="AE13" i="5"/>
  <c r="AD13" i="5"/>
  <c r="AC13" i="5"/>
  <c r="AB13" i="5"/>
  <c r="AA12" i="5"/>
  <c r="AC14" i="5"/>
  <c r="AE15" i="5"/>
  <c r="AC15" i="5"/>
  <c r="AD15" i="5"/>
  <c r="AE14" i="5"/>
  <c r="AD14" i="5"/>
  <c r="AD17" i="5"/>
  <c r="AB12" i="5"/>
  <c r="AC17" i="5"/>
  <c r="AA17" i="5"/>
  <c r="AB15" i="5"/>
  <c r="AB14" i="5"/>
  <c r="AA19" i="5"/>
  <c r="AE19" i="5"/>
  <c r="AD19" i="5"/>
  <c r="AC19" i="5"/>
  <c r="AE16" i="5"/>
  <c r="AD16" i="5"/>
  <c r="AC16" i="5"/>
  <c r="AB16" i="5"/>
  <c r="AE18" i="5"/>
  <c r="AD18" i="5"/>
  <c r="AC18" i="5"/>
  <c r="AB18" i="5"/>
  <c r="AB21" i="5"/>
  <c r="AB20" i="5"/>
  <c r="AE21" i="5"/>
  <c r="AA21" i="5"/>
  <c r="AA20" i="5"/>
  <c r="AD21" i="5"/>
  <c r="AC21" i="5"/>
  <c r="AE20" i="5"/>
  <c r="AD20" i="5"/>
  <c r="AC20" i="5"/>
  <c r="AD5" i="5"/>
  <c r="AE3" i="5"/>
  <c r="AD3" i="5"/>
  <c r="AC3" i="5"/>
  <c r="AA3" i="5"/>
  <c r="AC10" i="5"/>
  <c r="AE10" i="5"/>
  <c r="AD10" i="5"/>
  <c r="AB10" i="5"/>
  <c r="AB2" i="5"/>
  <c r="AB9" i="5"/>
  <c r="AC9" i="5"/>
  <c r="AA9" i="5"/>
  <c r="AE9" i="5"/>
  <c r="AC5" i="5"/>
  <c r="AB5" i="5"/>
  <c r="AE5" i="5"/>
  <c r="AE7" i="5"/>
  <c r="AB7" i="5"/>
  <c r="AD7" i="5"/>
  <c r="AC7" i="5"/>
  <c r="AE4" i="5"/>
  <c r="AD4" i="5"/>
  <c r="AA4" i="5"/>
  <c r="AC4" i="5"/>
  <c r="AB8" i="5"/>
  <c r="AC8" i="5"/>
  <c r="AE8" i="5"/>
  <c r="AD8" i="5"/>
  <c r="AE6" i="5"/>
  <c r="AD6" i="5"/>
  <c r="AC6" i="5"/>
  <c r="AB6" i="5"/>
  <c r="AC2" i="5"/>
  <c r="AE2" i="5"/>
  <c r="AD2" i="5"/>
</calcChain>
</file>

<file path=xl/sharedStrings.xml><?xml version="1.0" encoding="utf-8"?>
<sst xmlns="http://schemas.openxmlformats.org/spreadsheetml/2006/main" count="581" uniqueCount="226">
  <si>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</si>
  <si>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</si>
  <si>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</si>
  <si>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</si>
  <si>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</si>
  <si>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INFO</t>
  </si>
  <si>
    <t>ERROR</t>
  </si>
  <si>
    <t>RunCommands aborted due to failure.</t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</si>
  <si>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</si>
  <si>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</si>
  <si>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</si>
  <si>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</si>
  <si>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</si>
  <si>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</si>
  <si>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</si>
  <si>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</si>
  <si>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</si>
  <si>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</si>
  <si>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</si>
  <si>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</si>
  <si>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</si>
  <si>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</si>
  <si>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</si>
  <si>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</si>
  <si>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</si>
  <si>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</si>
  <si>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</si>
  <si>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</si>
  <si>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</si>
  <si>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</si>
  <si>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</si>
  <si>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</si>
  <si>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</si>
  <si>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</si>
  <si>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</si>
  <si>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</si>
  <si>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</si>
  <si>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</si>
  <si>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</si>
  <si>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</si>
  <si>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</si>
  <si>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</si>
  <si>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</si>
  <si>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</si>
  <si>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</si>
  <si>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RunCommands finished successfully.</t>
  </si>
  <si>
    <t>sheet1</t>
    <phoneticPr fontId="1"/>
  </si>
  <si>
    <t>sheet2</t>
    <phoneticPr fontId="1"/>
  </si>
  <si>
    <t>（保存パス）</t>
    <rPh sb="1" eb="3">
      <t>ホゾン</t>
    </rPh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</si>
  <si>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</si>
  <si>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</si>
  <si>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</si>
  <si>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</si>
  <si>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</si>
  <si>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</si>
  <si>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</si>
  <si>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</si>
  <si>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</si>
  <si>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</si>
  <si>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</si>
  <si>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</si>
  <si>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</si>
  <si>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</si>
  <si>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</si>
  <si>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</si>
  <si>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</si>
  <si>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{シート2}</t>
    <phoneticPr fontId="1"/>
  </si>
  <si>
    <t>{ブック1}:{シート1}!A1:D100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</si>
  <si>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</si>
  <si>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</si>
  <si>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</si>
  <si>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</si>
  <si>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</si>
  <si>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</si>
  <si>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</si>
  <si>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</si>
  <si>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</si>
  <si>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</si>
  <si>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</si>
  <si>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</si>
  <si>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</si>
  <si>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</si>
  <si>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</si>
  <si>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</si>
  <si>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</si>
  <si>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</si>
  <si>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</si>
  <si>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</si>
  <si>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</si>
  <si>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</si>
  <si>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</si>
  <si>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</si>
  <si>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</si>
  <si>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</si>
  <si>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</si>
  <si>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</si>
  <si>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[Loop]フォルダの巡回_次のファイルへ</t>
    <rPh sb="11" eb="13">
      <t>ジュンカイ</t>
    </rPh>
    <rPh sb="14" eb="15">
      <t>ツギ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</si>
  <si>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</si>
  <si>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</si>
  <si>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</si>
  <si>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t>実行シート</t>
    <rPh sb="0" eb="2">
      <t>ジッコウ</t>
    </rPh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</si>
  <si>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</si>
  <si>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D:\VBA\input\</t>
    <phoneticPr fontId="1"/>
  </si>
  <si>
    <t>[Access]レコードセットをエクセルに保存する</t>
  </si>
  <si>
    <t>[Access]レコードセットをエクセルに保存する</t>
    <phoneticPr fontId="1"/>
  </si>
  <si>
    <t>[Loop]フォルダ内の巡回する</t>
    <rPh sb="10" eb="11">
      <t>ナイ</t>
    </rPh>
    <rPh sb="12" eb="14">
      <t>ジュンカイ</t>
    </rPh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</si>
  <si>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</si>
  <si>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</si>
  <si>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</si>
  <si>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</si>
  <si>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</si>
  <si>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接続変数</t>
  </si>
  <si>
    <t>ファイルパス</t>
  </si>
  <si>
    <t>{rs1}</t>
  </si>
  <si>
    <t>接続変数からクエリを実行してレコードセットを取得する</t>
  </si>
  <si>
    <t>レコード変数</t>
  </si>
  <si>
    <t>Query</t>
  </si>
  <si>
    <t>ブックのインスタンスを新規作成して、ブック変数に格納する
インスタンス表示フラグ（値1）…True：表示 / False：非表示</t>
  </si>
  <si>
    <t>ブック変数</t>
  </si>
  <si>
    <t>表示フラグ</t>
  </si>
  <si>
    <t>[Access]レコードを貼り付け</t>
  </si>
  <si>
    <t>レコードセットをエクセルに貼り付ける</t>
  </si>
  <si>
    <t>レンジパス</t>
  </si>
  <si>
    <t>レコードセットをエクセルに保存する</t>
  </si>
  <si>
    <t>保存パス</t>
  </si>
  <si>
    <t>[Access]レコードセットを閉じる</t>
  </si>
  <si>
    <t>レコードセットを閉じる（接続は閉じない）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</si>
  <si>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</si>
  <si>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</si>
  <si>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</si>
  <si>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</si>
  <si>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</si>
  <si>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</si>
  <si>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</si>
  <si>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未</t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</si>
  <si>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</si>
  <si>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</si>
  <si>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</si>
  <si>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</si>
  <si>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</si>
  <si>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</si>
  <si>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</si>
  <si>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</si>
  <si>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</si>
  <si>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</si>
  <si>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</si>
  <si>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</si>
  <si>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</si>
  <si>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</si>
  <si>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</si>
  <si>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{ファイル1}</t>
    <phoneticPr fontId="1"/>
  </si>
  <si>
    <t>{ファイル1.ext}="xlsx"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</si>
  <si>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</si>
  <si>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</si>
  <si>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</si>
  <si>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</si>
  <si>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</si>
  <si>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</t>
    <rPh sb="0" eb="4">
      <t>ジョウケンブンキ</t>
    </rPh>
    <phoneticPr fontId="1"/>
  </si>
  <si>
    <t>条件分岐IFの終わり</t>
    <rPh sb="0" eb="4">
      <t>ジョウケンブンキ</t>
    </rPh>
    <rPh sb="7" eb="8">
      <t>オ</t>
    </rPh>
    <phoneticPr fontId="1"/>
  </si>
  <si>
    <t>{File.path}</t>
    <phoneticPr fontId="1"/>
  </si>
  <si>
    <t>{File}</t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</si>
  <si>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</si>
  <si>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</si>
  <si>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</si>
  <si>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</si>
  <si>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</si>
  <si>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D:\VBA\output\</t>
    <phoneticPr fontId="1"/>
  </si>
  <si>
    <t>[Condition]もし～ならば_End</t>
  </si>
  <si>
    <t>[Condition]もし～ならば_End</t>
    <phoneticPr fontId="1"/>
  </si>
  <si>
    <t>●年月日置換</t>
  </si>
  <si>
    <t>{レンジ1}</t>
    <phoneticPr fontId="1"/>
  </si>
  <si>
    <t>xlsx</t>
    <phoneticPr fontId="1"/>
  </si>
  <si>
    <t>{File}</t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</si>
  <si>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</si>
  <si>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</si>
  <si>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</si>
  <si>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</si>
  <si>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</si>
  <si>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</si>
  <si>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</si>
  <si>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</si>
  <si>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</si>
  <si>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</si>
  <si>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</si>
  <si>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</si>
  <si>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</si>
  <si>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</si>
  <si>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</si>
  <si>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</si>
  <si>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</si>
  <si>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</si>
  <si>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</si>
  <si>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差分チェック</t>
    <rPh sb="0" eb="2">
      <t>サブン</t>
    </rPh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</si>
  <si>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</si>
  <si>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</si>
  <si>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</si>
  <si>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</si>
  <si>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</si>
  <si>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</si>
  <si>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</si>
  <si>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</si>
  <si>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</si>
  <si>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</si>
  <si>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</si>
  <si>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</si>
  <si>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</si>
  <si>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</si>
  <si>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</si>
  <si>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</si>
  <si>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</si>
  <si>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</si>
  <si>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対象</t>
    <rPh sb="0" eb="2">
      <t>タイショウ</t>
    </rPh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</si>
  <si>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</si>
  <si>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</si>
  <si>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</si>
  <si>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</si>
  <si>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</si>
  <si>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</si>
  <si>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</si>
  <si>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</si>
  <si>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ExecuteCommand error: act=Excel_SetCell tgt= val={book}:{sheet}!{matchCell.offset(0,1).address},月, / Err 1004: 'Range' メソッドは失敗しました: '_Worksheet' オブジェクト</t>
  </si>
  <si>
    <t>Retry 1/1 : Step 9</t>
  </si>
  <si>
    <t>Step 9 failed. Action=Excel_SetCell</t>
  </si>
  <si>
    <t>ExecuteCommand error: act=Excel_SetCell tgt= val={book}:{sheet}!{matchCell.offset(0,1).address},月, / Err 424: オブジェクトが必要です。</t>
  </si>
  <si>
    <t>{book}</t>
  </si>
  <si>
    <t>_20260403_072048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</si>
</sst>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8"/>
      <color theme="1"/>
      <name val="游ゴシック"/>
      <family val="2"/>
      <charset val="128"/>
      <scheme val="minor"/>
    </font>
    <font>
      <b/>
      <sz val="9"/>
      <color theme="0"/>
      <name val="游ゴシック"/>
      <family val="2"/>
      <charset val="128"/>
      <scheme val="minor"/>
    </font>
    <font>
      <b/>
      <sz val="8"/>
      <color theme="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2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22" fontId="3" fillId="0" borderId="1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quotePrefix="1" applyFont="1" applyFill="1" applyAlignment="1">
      <alignment horizontal="center"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6" borderId="3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9" fillId="0" borderId="0" xfId="0" applyFont="1">
      <alignment vertical="center"/>
    </xf>
    <xf numFmtId="0" fontId="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2" fillId="7" borderId="8" xfId="0" applyFont="1" applyFill="1" applyBorder="1">
      <alignment vertical="center"/>
    </xf>
    <xf numFmtId="0" fontId="12" fillId="7" borderId="10" xfId="0" applyFont="1" applyFill="1" applyBorder="1">
      <alignment vertical="center"/>
    </xf>
    <xf numFmtId="0" fontId="12" fillId="7" borderId="9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7" borderId="11" xfId="0" applyFont="1" applyFill="1" applyBorder="1">
      <alignment vertical="center"/>
    </xf>
    <xf numFmtId="0" fontId="8" fillId="7" borderId="6" xfId="0" applyFont="1" applyFill="1" applyBorder="1" applyAlignment="1">
      <alignment horizontal="left" vertical="center" indent="1"/>
    </xf>
    <xf numFmtId="0" fontId="8" fillId="7" borderId="12" xfId="0" applyFont="1" applyFill="1" applyBorder="1" applyAlignment="1">
      <alignment horizontal="left" vertical="center" indent="1"/>
    </xf>
    <xf numFmtId="0" fontId="13" fillId="8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7" borderId="14" xfId="0" applyFont="1" applyFill="1" applyBorder="1">
      <alignment vertical="center"/>
    </xf>
    <xf numFmtId="0" fontId="11" fillId="7" borderId="16" xfId="0" applyFont="1" applyFill="1" applyBorder="1" applyAlignment="1">
      <alignment horizontal="center" vertical="center" wrapText="1"/>
    </xf>
    <xf numFmtId="0" fontId="11" fillId="8" borderId="13" xfId="0" applyFont="1" applyFill="1" applyBorder="1">
      <alignment vertical="center"/>
    </xf>
    <xf numFmtId="0" fontId="11" fillId="8" borderId="17" xfId="0" applyFont="1" applyFill="1" applyBorder="1" applyAlignment="1">
      <alignment horizontal="center" vertical="center" wrapText="1"/>
    </xf>
    <xf numFmtId="0" fontId="9" fillId="8" borderId="13" xfId="0" applyFont="1" applyFill="1" applyBorder="1">
      <alignment vertical="center"/>
    </xf>
    <xf numFmtId="0" fontId="10" fillId="8" borderId="17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9" fillId="8" borderId="18" xfId="0" applyFont="1" applyFill="1" applyBorder="1">
      <alignment vertical="center"/>
    </xf>
    <xf numFmtId="0" fontId="9" fillId="8" borderId="20" xfId="0" applyFont="1" applyFill="1" applyBorder="1" applyAlignment="1">
      <alignment horizontal="center" vertical="center"/>
    </xf>
    <xf numFmtId="0" fontId="2" fillId="6" borderId="21" xfId="0" applyFont="1" applyFill="1" applyBorder="1">
      <alignment vertical="center"/>
    </xf>
    <xf numFmtId="0" fontId="0" fillId="2" borderId="1" xfId="0" applyFill="1" applyBorder="1">
      <alignment vertical="center"/>
    </xf>
    <xf numFmtId="0" fontId="2" fillId="2" borderId="0" xfId="0" applyFont="1" applyFill="1" applyAlignment="1">
      <alignment horizontal="center" vertical="center" textRotation="255"/>
    </xf>
    <xf numFmtId="0" fontId="2" fillId="4" borderId="0" xfId="0" applyFont="1" applyFill="1" applyAlignment="1">
      <alignment horizontal="center" vertical="center" textRotation="255"/>
    </xf>
    <xf numFmtId="0" fontId="8" fillId="7" borderId="22" xfId="0" applyFont="1" applyFill="1" applyBorder="1" applyAlignment="1">
      <alignment horizontal="left" vertical="center" indent="1"/>
    </xf>
    <xf numFmtId="0" fontId="17" fillId="6" borderId="23" xfId="0" applyFont="1" applyFill="1" applyBorder="1" applyAlignment="1">
      <alignment horizontal="left" vertical="center"/>
    </xf>
    <xf numFmtId="0" fontId="15" fillId="7" borderId="24" xfId="0" applyFont="1" applyFill="1" applyBorder="1" applyAlignment="1">
      <alignment horizontal="center" vertical="center" wrapText="1"/>
    </xf>
    <xf numFmtId="0" fontId="15" fillId="7" borderId="2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left" vertical="center"/>
    </xf>
    <xf numFmtId="0" fontId="17" fillId="6" borderId="5" xfId="0" applyFont="1" applyFill="1" applyBorder="1" applyAlignment="1">
      <alignment horizontal="left" vertical="center" shrinkToFit="1"/>
    </xf>
    <xf numFmtId="0" fontId="17" fillId="6" borderId="7" xfId="0" applyFont="1" applyFill="1" applyBorder="1" applyAlignment="1">
      <alignment horizontal="left" vertical="center"/>
    </xf>
    <xf numFmtId="0" fontId="15" fillId="7" borderId="26" xfId="0" applyFont="1" applyFill="1" applyBorder="1" applyAlignment="1">
      <alignment horizontal="center" vertical="center" wrapText="1"/>
    </xf>
    <xf numFmtId="0" fontId="2" fillId="9" borderId="0" xfId="0" applyFont="1" applyFill="1">
      <alignment vertical="center"/>
    </xf>
    <xf numFmtId="0" fontId="6" fillId="9" borderId="0" xfId="0" applyFont="1" applyFill="1" applyAlignment="1">
      <alignment vertical="center" wrapText="1"/>
    </xf>
    <xf numFmtId="0" fontId="6" fillId="9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2" fillId="6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2" fillId="0" borderId="0" xfId="0" applyFont="1" applyAlignment="1">
      <alignment horizontal="left" vertical="center" textRotation="255" wrapText="1"/>
    </xf>
    <xf numFmtId="0" fontId="19" fillId="10" borderId="28" xfId="0" applyFont="1" applyFill="1" applyBorder="1">
      <alignment vertical="center"/>
    </xf>
    <xf numFmtId="0" fontId="19" fillId="6" borderId="28" xfId="0" applyFont="1" applyFill="1" applyBorder="1">
      <alignment vertical="center"/>
    </xf>
    <xf numFmtId="0" fontId="20" fillId="5" borderId="28" xfId="0" applyFont="1" applyFill="1" applyBorder="1" applyAlignment="1">
      <alignment horizontal="center" vertical="center" wrapText="1"/>
    </xf>
    <xf numFmtId="0" fontId="20" fillId="5" borderId="28" xfId="0" applyFont="1" applyFill="1" applyBorder="1" applyAlignment="1">
      <alignment horizontal="center" vertical="center"/>
    </xf>
    <xf numFmtId="0" fontId="20" fillId="5" borderId="29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left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2" fillId="11" borderId="28" xfId="0" applyFont="1" applyFill="1" applyBorder="1">
      <alignment vertical="center"/>
    </xf>
    <xf numFmtId="0" fontId="2" fillId="6" borderId="32" xfId="0" applyFont="1" applyFill="1" applyBorder="1">
      <alignment vertical="center"/>
    </xf>
    <xf numFmtId="0" fontId="6" fillId="6" borderId="28" xfId="0" applyFont="1" applyFill="1" applyBorder="1" applyAlignment="1">
      <alignment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6" fillId="6" borderId="29" xfId="0" applyFont="1" applyFill="1" applyBorder="1" applyAlignment="1">
      <alignment horizontal="center" vertical="center" wrapText="1"/>
    </xf>
    <xf numFmtId="0" fontId="2" fillId="0" borderId="28" xfId="0" applyFont="1" applyBorder="1">
      <alignment vertical="center"/>
    </xf>
    <xf numFmtId="0" fontId="2" fillId="4" borderId="28" xfId="0" applyFont="1" applyFill="1" applyBorder="1" applyAlignment="1">
      <alignment horizontal="left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left" vertical="center" wrapText="1"/>
    </xf>
    <xf numFmtId="0" fontId="2" fillId="0" borderId="33" xfId="0" applyFont="1" applyBorder="1">
      <alignment vertical="center"/>
    </xf>
    <xf numFmtId="0" fontId="2" fillId="6" borderId="36" xfId="0" applyFont="1" applyFill="1" applyBorder="1">
      <alignment vertical="center"/>
    </xf>
    <xf numFmtId="0" fontId="6" fillId="6" borderId="33" xfId="0" applyFont="1" applyFill="1" applyBorder="1" applyAlignment="1">
      <alignment vertical="center" wrapText="1"/>
    </xf>
    <xf numFmtId="0" fontId="6" fillId="6" borderId="33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18" fillId="2" borderId="30" xfId="0" applyFont="1" applyFill="1" applyBorder="1" applyAlignment="1">
      <alignment vertical="center" wrapText="1"/>
    </xf>
    <xf numFmtId="0" fontId="6" fillId="2" borderId="30" xfId="0" applyFont="1" applyFill="1" applyBorder="1" applyAlignment="1">
      <alignment vertical="center" wrapText="1"/>
    </xf>
    <xf numFmtId="0" fontId="6" fillId="4" borderId="30" xfId="0" applyFont="1" applyFill="1" applyBorder="1" applyAlignment="1">
      <alignment vertical="center" wrapText="1"/>
    </xf>
    <xf numFmtId="0" fontId="5" fillId="4" borderId="28" xfId="0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horizontal="left" vertical="center"/>
    </xf>
    <xf numFmtId="0" fontId="19" fillId="3" borderId="27" xfId="0" applyFont="1" applyFill="1" applyBorder="1" applyAlignment="1">
      <alignment horizontal="left" vertical="center" wrapText="1"/>
    </xf>
    <xf numFmtId="0" fontId="20" fillId="3" borderId="27" xfId="0" applyFont="1" applyFill="1" applyBorder="1" applyAlignment="1">
      <alignment horizontal="left" vertical="center" wrapText="1"/>
    </xf>
    <xf numFmtId="0" fontId="4" fillId="3" borderId="27" xfId="0" applyFont="1" applyFill="1" applyBorder="1" applyAlignment="1">
      <alignment horizontal="left" vertical="center" wrapText="1"/>
    </xf>
    <xf numFmtId="0" fontId="19" fillId="12" borderId="30" xfId="0" applyFont="1" applyFill="1" applyBorder="1" applyAlignment="1">
      <alignment horizontal="left" vertical="center" wrapText="1"/>
    </xf>
    <xf numFmtId="0" fontId="19" fillId="12" borderId="30" xfId="0" applyFont="1" applyFill="1" applyBorder="1" applyAlignment="1">
      <alignment horizontal="left" vertical="center"/>
    </xf>
    <xf numFmtId="0" fontId="4" fillId="12" borderId="30" xfId="0" applyFont="1" applyFill="1" applyBorder="1" applyAlignment="1">
      <alignment horizontal="center" vertical="center"/>
    </xf>
    <xf numFmtId="0" fontId="4" fillId="12" borderId="30" xfId="0" applyFont="1" applyFill="1" applyBorder="1" applyAlignment="1">
      <alignment horizontal="center" vertical="center" wrapText="1"/>
    </xf>
    <xf numFmtId="0" fontId="4" fillId="12" borderId="37" xfId="0" applyFont="1" applyFill="1" applyBorder="1" applyAlignment="1">
      <alignment horizontal="center" vertical="center"/>
    </xf>
    <xf numFmtId="0" fontId="3" fillId="11" borderId="30" xfId="0" applyFont="1" applyFill="1" applyBorder="1" applyAlignment="1">
      <alignment horizontal="left" vertical="center" wrapText="1"/>
    </xf>
    <xf numFmtId="0" fontId="3" fillId="11" borderId="30" xfId="0" applyFont="1" applyFill="1" applyBorder="1" applyAlignment="1">
      <alignment horizontal="left" vertical="center"/>
    </xf>
    <xf numFmtId="0" fontId="3" fillId="11" borderId="30" xfId="0" applyFont="1" applyFill="1" applyBorder="1" applyAlignment="1">
      <alignment horizontal="center" vertical="center"/>
    </xf>
    <xf numFmtId="0" fontId="3" fillId="11" borderId="37" xfId="0" applyFont="1" applyFill="1" applyBorder="1" applyAlignment="1">
      <alignment horizontal="left" vertical="center"/>
    </xf>
    <xf numFmtId="0" fontId="3" fillId="0" borderId="30" xfId="0" applyFont="1" applyBorder="1" applyAlignment="1">
      <alignment horizontal="left" vertical="center" wrapText="1"/>
    </xf>
    <xf numFmtId="0" fontId="3" fillId="0" borderId="30" xfId="0" applyFont="1" applyBorder="1" applyAlignment="1">
      <alignment horizontal="left" vertical="center"/>
    </xf>
    <xf numFmtId="0" fontId="3" fillId="0" borderId="30" xfId="0" applyFont="1" applyBorder="1" applyAlignment="1">
      <alignment horizontal="center" vertical="center"/>
    </xf>
    <xf numFmtId="0" fontId="3" fillId="0" borderId="37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 wrapText="1"/>
    </xf>
    <xf numFmtId="0" fontId="3" fillId="11" borderId="37" xfId="0" applyFont="1" applyFill="1" applyBorder="1" applyAlignment="1">
      <alignment horizontal="left" vertical="center" wrapText="1"/>
    </xf>
    <xf numFmtId="0" fontId="3" fillId="0" borderId="34" xfId="0" applyFont="1" applyBorder="1" applyAlignment="1">
      <alignment horizontal="left" vertical="center" wrapText="1"/>
    </xf>
    <xf numFmtId="0" fontId="3" fillId="0" borderId="34" xfId="0" applyFont="1" applyBorder="1" applyAlignment="1">
      <alignment horizontal="left" vertical="center"/>
    </xf>
    <xf numFmtId="0" fontId="3" fillId="0" borderId="34" xfId="0" applyFont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 wrapText="1"/>
    </xf>
    <xf numFmtId="0" fontId="7" fillId="0" borderId="33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0" fillId="0" borderId="34" xfId="0" applyFill="1" applyBorder="1" applyAlignment="1">
      <alignment vertical="center" wrapText="1"/>
    </xf>
    <xf numFmtId="0" fontId="3" fillId="0" borderId="35" xfId="0" applyFont="1" applyFill="1" applyBorder="1" applyAlignment="1">
      <alignment horizontal="left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textRotation="255"/>
    </xf>
    <xf numFmtId="0" fontId="2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</cellXfs>
  <cellStyles count="1">
    <cellStyle name="標準" xfId="0" builtinId="0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6"/>
        <family val="3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136"/>
      <tableStyleElement type="headerRow" dxfId="135"/>
      <tableStyleElement type="totalRow" dxfId="134"/>
      <tableStyleElement type="firstColumn" dxfId="133"/>
      <tableStyleElement type="lastColumn" dxfId="132"/>
      <tableStyleElement type="firstRowStripe" dxfId="131"/>
      <tableStyleElement type="firstColumnStripe" dxfId="1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RunBtn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OpenInputFolderSelector">
      <xdr:nvPicPr>
        <xdr:cNvPr id="5" name="グラフィックス 4" descr="フォルダー検索 単色塗りつぶし">
          <a:extLst>
            <a:ext uri="{FF2B5EF4-FFF2-40B4-BE49-F238E27FC236}">
              <a16:creationId xmlns:a16="http://schemas.microsoft.com/office/drawing/2014/main" id="{89B97D5B-52AA-9698-39C9-4129AE647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OpenOutputFolderSelector">
      <xdr:nvPicPr>
        <xdr:cNvPr id="2" name="グラフィックス 1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34609</xdr:colOff>
      <xdr:row>0</xdr:row>
      <xdr:rowOff>127780</xdr:rowOff>
    </xdr:from>
    <xdr:to>
      <xdr:col>8</xdr:col>
      <xdr:colOff>321447</xdr:colOff>
      <xdr:row>1</xdr:row>
      <xdr:rowOff>252291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71042" flipH="1">
          <a:off x="5787709" y="127780"/>
          <a:ext cx="1182188" cy="924611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OpenInputFolder">
      <xdr:nvPicPr>
        <xdr:cNvPr id="35" name="グラフィックス 34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456076</xdr:colOff>
      <xdr:row>6</xdr:row>
      <xdr:rowOff>1</xdr:rowOff>
    </xdr:from>
    <xdr:to>
      <xdr:col>5</xdr:col>
      <xdr:colOff>708076</xdr:colOff>
      <xdr:row>6</xdr:row>
      <xdr:rowOff>252001</xdr:rowOff>
    </xdr:to>
    <xdr:pic macro="[0]!Sh10_Main.OpenOutputFolder">
      <xdr:nvPicPr>
        <xdr:cNvPr id="36" name="グラフィックス 35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352051" y="2466976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7</xdr:row>
      <xdr:rowOff>47625</xdr:rowOff>
    </xdr:from>
    <xdr:to>
      <xdr:col>5</xdr:col>
      <xdr:colOff>528225</xdr:colOff>
      <xdr:row>7</xdr:row>
      <xdr:rowOff>299625</xdr:rowOff>
    </xdr:to>
    <xdr:pic macro="[0]!Sh10_Main.UpdateTimeCell">
      <xdr:nvPicPr>
        <xdr:cNvPr id="39" name="グラフィックス 38" descr="繰り返し 単色塗りつぶし">
          <a:extLst>
            <a:ext uri="{FF2B5EF4-FFF2-40B4-BE49-F238E27FC236}">
              <a16:creationId xmlns:a16="http://schemas.microsoft.com/office/drawing/2014/main" id="{2952B3CA-73F1-EF43-963B-B22158776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29325" y="2838450"/>
          <a:ext cx="252000" cy="25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9088F-6ED6-4033-A72E-71C7F6326938}" name="テーブル146" displayName="テーブル146" ref="A1:AE6" totalsRowShown="0" headerRowDxfId="129" dataDxfId="128">
  <autoFilter ref="A1:AE6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2E97CBAC-8C9F-4CB0-AAE5-CB221689D705}" name="項" dataDxfId="127">
      <calculatedColumnFormula>ROW()-1</calculatedColumnFormula>
    </tableColumn>
    <tableColumn id="7" xr3:uid="{699353AB-F03A-4170-B00E-D9CB0A379CE4}" name="アクション名" dataDxfId="126"/>
    <tableColumn id="2" xr3:uid="{A9DAE044-2C19-47C5-A855-08203669DD95}" name="-" dataDxfId="125">
      <calculatedColumnFormula>IFERROR(VLOOKUP(テーブル146[[#This Row],[アクション名]],アクション情報!A:B,2,FALSE),"")</calculatedColumnFormula>
    </tableColumn>
    <tableColumn id="3" xr3:uid="{3D27A48A-AFF3-491A-B582-4736F4863F2A}" name="変数" dataDxfId="124"/>
    <tableColumn id="4" xr3:uid="{26A1B9E7-D243-49C8-8654-82A15079440A}" name="値１" dataDxfId="123">
      <calculatedColumnFormula>メイン!E6</calculatedColumnFormula>
    </tableColumn>
    <tableColumn id="5" xr3:uid="{04DD79B1-9E35-488C-85B2-87E248CBA50F}" name="値２" dataDxfId="122"/>
    <tableColumn id="6" xr3:uid="{57684C11-E094-4DFB-90BF-97920691A7B0}" name="値３" dataDxfId="121"/>
    <tableColumn id="8" xr3:uid="{8458A5BF-5AC3-4EBC-95F3-BF9833200212}" name="値４" dataDxfId="120"/>
    <tableColumn id="9" xr3:uid="{F5F4D231-CAA5-4857-BF50-D76A67D291D7}" name="値５" dataDxfId="119"/>
    <tableColumn id="10" xr3:uid="{11EBBFB2-C6FC-4756-87AB-3A2F7BAE5EDB}" name="値６" dataDxfId="118"/>
    <tableColumn id="11" xr3:uid="{1ADA6570-3F0A-46B7-9A84-72E43D45B6FD}" name="値７" dataDxfId="117"/>
    <tableColumn id="12" xr3:uid="{E56A3562-DD3A-4259-AEDC-5CB50E74C81A}" name="値８" dataDxfId="116"/>
    <tableColumn id="13" xr3:uid="{57186B40-A521-4146-ACA5-BBB054F4EB9A}" name="値９" dataDxfId="115"/>
    <tableColumn id="14" xr3:uid="{DC54B027-7CEE-44F6-9475-3A9132486A36}" name="値１０" dataDxfId="114"/>
    <tableColumn id="15" xr3:uid="{21A32181-384A-4041-AB8C-2309F5F6DB07}" name="値１１" dataDxfId="113"/>
    <tableColumn id="16" xr3:uid="{321F9BF5-A2BA-47C4-B913-3D084B453A0E}" name="値１２" dataDxfId="112"/>
    <tableColumn id="17" xr3:uid="{A8790581-E1DD-4D20-A5F3-501B08918EDB}" name="値１３" dataDxfId="111"/>
    <tableColumn id="18" xr3:uid="{A634DFA5-EF06-407A-94D2-4F117574133F}" name="値１４" dataDxfId="110"/>
    <tableColumn id="19" xr3:uid="{7B46B144-CB44-4216-824A-D9C3C9A1365A}" name="値１５" dataDxfId="109"/>
    <tableColumn id="20" xr3:uid="{BAE77B51-55AC-4581-BA0C-19EFF72D6077}" name="値１６" dataDxfId="108"/>
    <tableColumn id="21" xr3:uid="{25CF50E2-C27F-4360-A73F-AF1D7288CF52}" name="値１７" dataDxfId="107"/>
    <tableColumn id="22" xr3:uid="{FF35C082-F871-44E1-937D-C4BB0E3E609A}" name="値１８" dataDxfId="106"/>
    <tableColumn id="23" xr3:uid="{97A6C46F-071E-4509-BDED-ADB92FA1B263}" name="値１９" dataDxfId="105"/>
    <tableColumn id="24" xr3:uid="{F9C29B46-ACE7-474A-AA2E-23A5CFA326E8}" name="値２０" dataDxfId="104"/>
    <tableColumn id="25" xr3:uid="{828EB46D-FCE8-4D08-8FF9-EFA5137C81B0}" name="値２１" dataDxfId="103"/>
    <tableColumn id="26" xr3:uid="{11C53F17-4C5B-4A62-BE78-22AAB4635119}" name="値２２" dataDxfId="102"/>
    <tableColumn id="27" xr3:uid="{CE832069-9886-47E8-BD41-DD165F1F6071}" name="アクション情報" dataDxfId="101">
      <calculatedColumnFormula>IFERROR(VLOOKUP(テーブル146[[#This Row],[-]],アクション情報!B:G,3,FALSE),"")</calculatedColumnFormula>
    </tableColumn>
    <tableColumn id="28" xr3:uid="{068B20EB-4964-4483-BAFB-098C7FADA055}" name="戻り値'" dataDxfId="100">
      <calculatedColumnFormula>IFERROR(VLOOKUP(テーブル146[[#This Row],[-]],アクション情報!B:H,4,FALSE),"")</calculatedColumnFormula>
    </tableColumn>
    <tableColumn id="29" xr3:uid="{1E908DA0-B35B-4BCA-ABD7-7683733748BD}" name="値１'" dataDxfId="99">
      <calculatedColumnFormula>IFERROR(VLOOKUP(テーブル146[[#This Row],[-]],アクション情報!B:I,5,FALSE),"")</calculatedColumnFormula>
    </tableColumn>
    <tableColumn id="30" xr3:uid="{712F7F27-2E90-4548-8E8C-20CDC19C6B94}" name="値２'" dataDxfId="98">
      <calculatedColumnFormula>IFERROR(VLOOKUP(テーブル146[[#This Row],[-]],アクション情報!B:J,6,FALSE),"")</calculatedColumnFormula>
    </tableColumn>
    <tableColumn id="31" xr3:uid="{A0DAF7A4-098F-429D-B29B-E94D5EECA956}" name="値３'" dataDxfId="97">
      <calculatedColumnFormula>IFERROR(VLOOKUP(テーブル146[[#This Row],[-]],アクション情報!B:I,7,FALSE),"")</calculatedColumnFormula>
    </tableColumn>
  </tableColumns>
  <tableStyleInfo name="TableStyleMedium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0DDC42-FABD-48AA-B274-DACE3C2AE7CD}" name="テーブル14" displayName="テーブル14" ref="A1:AE21" totalsRowShown="0">
  <autoFilter ref="A1:AE21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446B2A18-3EEC-4509-817C-A937C53264D8}" name="項" dataDxfId="96">
      <calculatedColumnFormula>ROW()-1</calculatedColumnFormula>
    </tableColumn>
    <tableColumn id="7" xr3:uid="{3A4AB780-015F-4275-968F-B74D72BA3D69}" name="アクション名" dataDxfId="95"/>
    <tableColumn id="2" xr3:uid="{EEFAA73C-7B2B-4FD6-A76E-CF69561B3505}" name="-" dataDxfId="94">
      <calculatedColumnFormula>IFERROR(VLOOKUP(テーブル14[[#This Row],[アクション名]],アクション情報!A:B,2,FALSE),"")</calculatedColumnFormula>
    </tableColumn>
    <tableColumn id="3" xr3:uid="{F7A33F92-F285-42C6-8E3D-3AF3B6A4BE9F}" name="変数" dataDxfId="93"/>
    <tableColumn id="4" xr3:uid="{943C6A31-A3F2-4A34-835A-1234FE03000F}" name="値１" dataDxfId="92"/>
    <tableColumn id="5" xr3:uid="{3DCA84D0-8D9F-43AA-B3F4-DD98917CA35E}" name="値２" dataDxfId="91"/>
    <tableColumn id="6" xr3:uid="{888DBA16-2C2D-47F3-A154-853171BF460C}" name="値３" dataDxfId="90"/>
    <tableColumn id="8" xr3:uid="{1B3DDA3A-034F-4161-B36C-AC52FC5482A0}" name="値４" dataDxfId="89"/>
    <tableColumn id="9" xr3:uid="{CC5602ED-0265-47C9-99B5-6997CD0FBEF1}" name="値５" dataDxfId="88"/>
    <tableColumn id="10" xr3:uid="{B3280047-97C2-4675-AE0D-3AE2A71A67CC}" name="値６" dataDxfId="87"/>
    <tableColumn id="11" xr3:uid="{B416082F-99EB-42AB-9F46-2250C01F0B4E}" name="値７" dataDxfId="86"/>
    <tableColumn id="12" xr3:uid="{60181FED-0AA5-41E7-A502-F671EFBBC81D}" name="値８" dataDxfId="85"/>
    <tableColumn id="13" xr3:uid="{8A24C53C-45A9-4B68-9F49-B82E87901C42}" name="値９" dataDxfId="84"/>
    <tableColumn id="14" xr3:uid="{66088755-45CA-49AC-BF86-FCC7B3665628}" name="値１０" dataDxfId="83"/>
    <tableColumn id="15" xr3:uid="{7A079FB1-CA39-4397-87F5-F513495B3AF6}" name="値１１" dataDxfId="82"/>
    <tableColumn id="16" xr3:uid="{08818137-06AD-4FCA-8FA6-1969B979A4AF}" name="値１２" dataDxfId="81"/>
    <tableColumn id="17" xr3:uid="{7EF5B408-6DDD-4D51-B003-2D06C5D3C038}" name="値１３" dataDxfId="80"/>
    <tableColumn id="18" xr3:uid="{3F8601DE-996D-436F-BC6D-448D221F37C4}" name="値１４" dataDxfId="79"/>
    <tableColumn id="19" xr3:uid="{2BA1BBE4-3260-40B8-921D-C5A500761DB8}" name="値１５" dataDxfId="78"/>
    <tableColumn id="20" xr3:uid="{000B10D0-5BC6-44F0-9324-510B0FB2DD69}" name="値１６" dataDxfId="77"/>
    <tableColumn id="21" xr3:uid="{E2F3E55C-0805-4450-8C12-75B9FB05F911}" name="値１７" dataDxfId="76"/>
    <tableColumn id="22" xr3:uid="{011385CB-9B87-41A0-AC72-5A57261DEE2F}" name="値１８" dataDxfId="75"/>
    <tableColumn id="23" xr3:uid="{0ECC5F20-ABD3-4FA3-B403-D4CB8F539F5F}" name="値１９" dataDxfId="74"/>
    <tableColumn id="24" xr3:uid="{21A62A56-0D8D-4F65-9D28-49D149B6218E}" name="値２０" dataDxfId="73"/>
    <tableColumn id="25" xr3:uid="{0B037C86-F545-45D6-B46A-C50065A35058}" name="値２１" dataDxfId="72"/>
    <tableColumn id="26" xr3:uid="{5B849134-0E3B-471D-B7A0-90780FA04EB0}" name="値２２" dataDxfId="71"/>
    <tableColumn id="27" xr3:uid="{6788CB49-B81B-43C2-87A0-24A67AF8AC1C}" name="アクション情報" dataDxfId="70">
      <calculatedColumnFormula>IFERROR(VLOOKUP(テーブル14[[#This Row],[-]],アクション情報!B:G,3,FALSE),"")</calculatedColumnFormula>
    </tableColumn>
    <tableColumn id="28" xr3:uid="{53EC5ABE-877C-403A-BB3F-46D05E3031B9}" name="戻り値'" dataDxfId="69">
      <calculatedColumnFormula>IFERROR(VLOOKUP(テーブル14[[#This Row],[-]],アクション情報!B:H,4,FALSE),"")</calculatedColumnFormula>
    </tableColumn>
    <tableColumn id="29" xr3:uid="{312C4542-CCA7-4261-8890-DA8B1E209FF5}" name="値１'" dataDxfId="68">
      <calculatedColumnFormula>IFERROR(VLOOKUP(テーブル14[[#This Row],[-]],アクション情報!B:I,5,FALSE),"")</calculatedColumnFormula>
    </tableColumn>
    <tableColumn id="30" xr3:uid="{70F374DF-9596-411A-B058-50BD0F1D4BFB}" name="値２'" dataDxfId="67">
      <calculatedColumnFormula>IFERROR(VLOOKUP(テーブル14[[#This Row],[-]],アクション情報!B:J,6,FALSE),"")</calculatedColumnFormula>
    </tableColumn>
    <tableColumn id="31" xr3:uid="{C4FD511E-34BE-4F52-BD43-063A3B27FA58}" name="値３'" dataDxfId="66">
      <calculatedColumnFormula>IFERROR(VLOOKUP(テーブル14[[#This Row],[-]],アクション情報!B:I,7,FALSE),"")</calculatedColumnFormula>
    </tableColumn>
  </tableColumns>
  <tableStyleInfo name="TableStyleMedium1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C3DFCA-D1F9-4D25-936B-257DF01F1AD3}" name="テーブル1465" displayName="テーブル1465" ref="A1:AE8" totalsRowShown="0" headerRowDxfId="65" dataDxfId="64">
  <autoFilter ref="A1:AE8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2760CD18-0D30-472C-8AC0-318F78790573}" name="項" dataDxfId="63"/>
    <tableColumn id="7" xr3:uid="{9D47AA47-B445-4150-91F1-6DEF6453C881}" name="アクション名" dataDxfId="62"/>
    <tableColumn id="2" xr3:uid="{354896F3-0E67-4F0B-AEC2-17BD6DAE20F0}" name="-" dataDxfId="61">
      <calculatedColumnFormula>IFERROR(VLOOKUP(テーブル1465[[#This Row],[アクション名]],アクション情報!A:B,2,FALSE),"")</calculatedColumnFormula>
    </tableColumn>
    <tableColumn id="3" xr3:uid="{46582174-D064-4CEA-ACD5-8F68A01129A0}" name="変数" dataDxfId="60"/>
    <tableColumn id="4" xr3:uid="{965A290D-CB71-4117-B003-7F417A1E2016}" name="値１" dataDxfId="59"/>
    <tableColumn id="5" xr3:uid="{6A74CB82-068D-4587-9074-49AA827EDDDB}" name="値２" dataDxfId="58"/>
    <tableColumn id="6" xr3:uid="{849633D8-DAE7-444C-9739-55152520EA81}" name="値３" dataDxfId="57"/>
    <tableColumn id="8" xr3:uid="{4FE08905-1BF0-4C38-9D95-C66DB0BD472E}" name="値４" dataDxfId="56"/>
    <tableColumn id="9" xr3:uid="{9CB05E76-D5C1-4C8A-9578-E0DD2A47EAC2}" name="値５" dataDxfId="55"/>
    <tableColumn id="10" xr3:uid="{1243180A-4375-4C61-9339-0B43F7D54F38}" name="値６" dataDxfId="54"/>
    <tableColumn id="11" xr3:uid="{13278AD9-46EC-4185-8DC8-ECB2ECE09457}" name="値７" dataDxfId="53"/>
    <tableColumn id="12" xr3:uid="{63404408-6DAA-43FC-8C29-9390A87BE9DE}" name="値８" dataDxfId="52"/>
    <tableColumn id="13" xr3:uid="{4FDC6C35-18EF-40B4-8629-DCA3B3479F75}" name="値９" dataDxfId="51"/>
    <tableColumn id="14" xr3:uid="{B1DAEDE3-F6EE-4658-8258-FACB41B6A927}" name="値１０" dataDxfId="50"/>
    <tableColumn id="15" xr3:uid="{B337A225-24AD-4B6C-9B7B-638043F3E8DB}" name="値１１" dataDxfId="49"/>
    <tableColumn id="16" xr3:uid="{0E6F4F71-DD29-4C46-9DDE-8F065AAF2148}" name="値１２" dataDxfId="48"/>
    <tableColumn id="17" xr3:uid="{B01C4C43-F739-4A50-AD05-1E8B9F0B895A}" name="値１３" dataDxfId="47"/>
    <tableColumn id="18" xr3:uid="{4D111EC3-6FF8-4EAD-82D2-4D7163A0BCC4}" name="値１４" dataDxfId="46"/>
    <tableColumn id="19" xr3:uid="{E1D15BEA-840D-4EF7-B36A-E807C526EB33}" name="値１５" dataDxfId="45"/>
    <tableColumn id="20" xr3:uid="{7E637A01-4D3F-47A6-9523-A94D936954D0}" name="値１６" dataDxfId="44"/>
    <tableColumn id="21" xr3:uid="{AAAD17B5-241E-4DC1-8C6F-3EFE92C6879F}" name="値１７" dataDxfId="43"/>
    <tableColumn id="22" xr3:uid="{05E06BEC-BD5D-4A3F-B57D-FB61FA00769F}" name="値１８" dataDxfId="42"/>
    <tableColumn id="23" xr3:uid="{76C763DE-A76C-49EF-AB23-D5876CA830DE}" name="値１９" dataDxfId="41"/>
    <tableColumn id="24" xr3:uid="{1118A780-3E32-4678-A1BA-661C45456C7A}" name="値２０" dataDxfId="40"/>
    <tableColumn id="25" xr3:uid="{6294DB1E-AA0B-4B0A-B607-2BD9ACB16F88}" name="値２１" dataDxfId="39"/>
    <tableColumn id="26" xr3:uid="{E1D9EE20-5DBF-444A-B52A-62417D58E195}" name="値２２" dataDxfId="38"/>
    <tableColumn id="27" xr3:uid="{494BEC30-5602-44E2-801C-EB3D807ED8D4}" name="アクション情報" dataDxfId="37"/>
    <tableColumn id="28" xr3:uid="{33825912-89CE-4598-9FBA-7F1C9346B755}" name="戻り値'" dataDxfId="36"/>
    <tableColumn id="29" xr3:uid="{D010E9FC-4C9E-434D-825D-A3DD19D5B6DA}" name="値１'" dataDxfId="35"/>
    <tableColumn id="30" xr3:uid="{8863935B-453E-4FE5-845A-28DE398F10FF}" name="値２'" dataDxfId="34"/>
    <tableColumn id="31" xr3:uid="{AFFA142F-4CAF-4259-9186-B8C0F02EAB50}" name="値３'" dataDxfId="33"/>
  </tableColumns>
  <tableStyleInfo name="TableStyleMedium1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477E58-B977-4764-AE50-79A5E74C3228}" name="テーブル14657" displayName="テーブル14657" ref="A1:AE4" totalsRowShown="0" headerRowDxfId="32" dataDxfId="31">
  <autoFilter ref="A1:AE4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883DA8C-3E3C-4D83-92C7-26642D3935BD}" name="項" dataDxfId="30"/>
    <tableColumn id="7" xr3:uid="{237528BD-557E-421C-8DD6-9E99082D4DDA}" name="アクション名" dataDxfId="29"/>
    <tableColumn id="2" xr3:uid="{E64D6F97-22F5-4020-B2CB-04A8562A9D87}" name="-" dataDxfId="28">
      <calculatedColumnFormula>IFERROR(VLOOKUP(テーブル14657[[#This Row],[アクション名]],アクション情報!A:B,2,FALSE),"")</calculatedColumnFormula>
    </tableColumn>
    <tableColumn id="3" xr3:uid="{DA0F7862-0814-4980-924E-A2C0549F5E66}" name="変数" dataDxfId="27"/>
    <tableColumn id="4" xr3:uid="{8040D9AE-6E16-4FCA-B070-D6BC2E363609}" name="値１" dataDxfId="26">
      <calculatedColumnFormula>メイン!E6</calculatedColumnFormula>
    </tableColumn>
    <tableColumn id="5" xr3:uid="{0258FBA8-CAD8-4E8E-862B-98CBD5C5ADB4}" name="値２" dataDxfId="25"/>
    <tableColumn id="6" xr3:uid="{5D5DB4ED-62A1-4D68-BA8A-E9E97AC254A3}" name="値３" dataDxfId="24"/>
    <tableColumn id="8" xr3:uid="{92077CD1-DB18-4D81-9093-336E5811A35C}" name="値４" dataDxfId="23"/>
    <tableColumn id="9" xr3:uid="{1A7BB7B1-1A2E-4EEC-AFCE-289BD2D9ED25}" name="値５" dataDxfId="22"/>
    <tableColumn id="10" xr3:uid="{875DE58F-86E7-42D5-986C-E8D31498AEE3}" name="値６" dataDxfId="21"/>
    <tableColumn id="11" xr3:uid="{A3D82C9C-69C0-4927-B839-BCD8751A0727}" name="値７" dataDxfId="20"/>
    <tableColumn id="12" xr3:uid="{02130174-448A-4429-80C1-C1539D6303E7}" name="値８" dataDxfId="19"/>
    <tableColumn id="13" xr3:uid="{CA4D6EBD-CB5F-4753-81B8-F35ABA3D72E6}" name="値９" dataDxfId="18"/>
    <tableColumn id="14" xr3:uid="{74874C16-38C7-46A8-8922-5809FF459AD6}" name="値１０" dataDxfId="17"/>
    <tableColumn id="15" xr3:uid="{FE5E6B22-D3A4-4C87-A6CC-35537540DF59}" name="値１１" dataDxfId="16"/>
    <tableColumn id="16" xr3:uid="{ECC317CA-3A33-42A2-BF89-FFE26D6F4077}" name="値１２" dataDxfId="15"/>
    <tableColumn id="17" xr3:uid="{CD6981FB-EEE8-405A-87F2-B07051D52FBC}" name="値１３" dataDxfId="14"/>
    <tableColumn id="18" xr3:uid="{E99BE377-2D40-4AC3-B021-244471011ED7}" name="値１４" dataDxfId="13"/>
    <tableColumn id="19" xr3:uid="{93D97343-3C98-4D76-BA35-7F141D3643CD}" name="値１５" dataDxfId="12"/>
    <tableColumn id="20" xr3:uid="{D57A884F-9E39-4E18-A354-49D27746D07A}" name="値１６" dataDxfId="11"/>
    <tableColumn id="21" xr3:uid="{50A1962B-0160-48F2-B0A0-23C8B27806B9}" name="値１７" dataDxfId="10"/>
    <tableColumn id="22" xr3:uid="{907F0B95-EA7D-4F1E-A87A-63CF78A78295}" name="値１８" dataDxfId="9"/>
    <tableColumn id="23" xr3:uid="{F90EDB37-0141-4846-80EE-F336BFF10F75}" name="値１９" dataDxfId="8"/>
    <tableColumn id="24" xr3:uid="{6A539FE2-9D4D-4783-80CD-7449FED1D05B}" name="値２０" dataDxfId="7"/>
    <tableColumn id="25" xr3:uid="{420D3264-005E-43CC-AB2F-B814A3507C38}" name="値２１" dataDxfId="6"/>
    <tableColumn id="26" xr3:uid="{A7580C2C-35B5-4C58-A92D-52B3114D2236}" name="値２２" dataDxfId="5"/>
    <tableColumn id="27" xr3:uid="{F8A2439C-3B57-43C7-8403-D80210C24047}" name="アクション情報" dataDxfId="4">
      <calculatedColumnFormula>IFERROR(VLOOKUP(テーブル14657[[#This Row],[-]],アクション情報!B:G,3,FALSE),"")</calculatedColumnFormula>
    </tableColumn>
    <tableColumn id="28" xr3:uid="{46343012-A61B-4AEA-803B-3DF2F32C9935}" name="戻り値'" dataDxfId="3">
      <calculatedColumnFormula>IFERROR(VLOOKUP(テーブル14657[[#This Row],[-]],アクション情報!B:H,4,FALSE),"")</calculatedColumnFormula>
    </tableColumn>
    <tableColumn id="29" xr3:uid="{9EE7D1CC-00ED-48F2-BCA6-DFEBF38E04F7}" name="値１'" dataDxfId="2">
      <calculatedColumnFormula>IFERROR(VLOOKUP(テーブル14657[[#This Row],[-]],アクション情報!B:I,5,FALSE),"")</calculatedColumnFormula>
    </tableColumn>
    <tableColumn id="30" xr3:uid="{88AF4051-0087-47D6-9CC0-9B4516F14360}" name="値２'" dataDxfId="1">
      <calculatedColumnFormula>IFERROR(VLOOKUP(テーブル14657[[#This Row],[-]],アクション情報!B:J,6,FALSE),"")</calculatedColumnFormula>
    </tableColumn>
    <tableColumn id="31" xr3:uid="{1226C30E-F480-4A6F-B6FC-367992EA1FDB}" name="値３'" dataDxfId="0"/>
  </tableColumns>
  <tableStyleInfo name="TableStyleMedium1 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A1:H11"/>
  <sheetViews>
    <sheetView showGridLines="0" showZeros="0" tabSelected="1" showOutlineSymbols="0" topLeftCell="B1" zoomScaleNormal="100" zoomScaleSheetLayoutView="100" workbookViewId="0">
      <selection sqref="A1:A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9" style="26" hidden="1" customWidth="1"/>
    <col min="2" max="2" width="7.875" style="26" customWidth="1"/>
    <col min="3" max="3" width="1.625" style="26" customWidth="1"/>
    <col min="4" max="4" width="11.25" style="26" customWidth="1"/>
    <col min="5" max="5" width="54.75" style="26" customWidth="1"/>
    <col min="6" max="6" width="9.875" style="26" customWidth="1"/>
    <col min="7" max="7" width="1.625" style="26" customWidth="1"/>
    <col min="8" max="8" width="0.25" style="26" customWidth="1"/>
    <col min="9" max="26" width="9" style="26" customWidth="1"/>
    <col min="27" max="16384" width="9" style="26"/>
  </cols>
  <sheetData>
    <row r="1" spans="3:8" ht="63" customHeight="1" thickBot="1"/>
    <row r="2" spans="3:8" ht="56.25" customHeight="1">
      <c r="C2" s="41"/>
      <c r="D2" s="129" t="s">
        <v>101</v>
      </c>
      <c r="E2" s="129"/>
      <c r="F2" s="129"/>
      <c r="G2" s="42"/>
      <c r="H2" s="40"/>
    </row>
    <row r="3" spans="3:8" ht="18.75" customHeight="1" thickBot="1">
      <c r="C3" s="43"/>
      <c r="D3" s="39"/>
      <c r="E3" s="39"/>
      <c r="F3" s="39"/>
      <c r="G3" s="44"/>
      <c r="H3" s="40"/>
    </row>
    <row r="4" spans="3:8" ht="5.25" customHeight="1">
      <c r="C4" s="45"/>
      <c r="D4" s="31"/>
      <c r="E4" s="29"/>
      <c r="F4" s="30"/>
      <c r="G4" s="46"/>
      <c r="H4" s="40"/>
    </row>
    <row r="5" spans="3:8">
      <c r="C5" s="45"/>
      <c r="D5" s="56" t="s">
        <v>100</v>
      </c>
      <c r="E5" s="58" t="s">
        <v>169</v>
      </c>
      <c r="F5" s="36"/>
      <c r="G5" s="47"/>
      <c r="H5" s="40"/>
    </row>
    <row r="6" spans="3:8">
      <c r="C6" s="45"/>
      <c r="D6" s="56" t="s">
        <v>94</v>
      </c>
      <c r="E6" s="59" t="s">
        <v>102</v>
      </c>
      <c r="F6" s="37"/>
      <c r="G6" s="47"/>
      <c r="H6" s="40"/>
    </row>
    <row r="7" spans="3:8">
      <c r="C7" s="45"/>
      <c r="D7" s="57" t="s">
        <v>95</v>
      </c>
      <c r="E7" s="60" t="s">
        <v>166</v>
      </c>
      <c r="F7" s="54"/>
      <c r="G7" s="47"/>
      <c r="H7" s="40"/>
    </row>
    <row r="8" spans="3:8" ht="26.25" thickBot="1">
      <c r="C8" s="45"/>
      <c r="D8" s="61" t="s">
        <v>143</v>
      </c>
      <c r="E8" s="55" t="s">
        <v>225</v>
      </c>
      <c r="F8" s="38"/>
      <c r="G8" s="47"/>
      <c r="H8" s="40"/>
    </row>
    <row r="9" spans="3:8" ht="101.25" customHeight="1" thickTop="1" thickBot="1">
      <c r="C9" s="48"/>
      <c r="D9" s="130"/>
      <c r="E9" s="130"/>
      <c r="F9" s="130"/>
      <c r="G9" s="49"/>
      <c r="H9" s="40"/>
    </row>
    <row r="10" spans="3:8" ht="1.5" customHeight="1">
      <c r="C10" s="40"/>
      <c r="D10" s="40"/>
      <c r="E10" s="40"/>
      <c r="F10" s="40"/>
      <c r="G10" s="40"/>
      <c r="H10" s="40"/>
    </row>
    <row r="11" spans="3:8" ht="12.75" customHeight="1"/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46B4C148-60DA-45BD-8824-92073CF338EF}">
      <formula1>"●年月日置換,●フォルダ巡回,●Excelコピー,●Access,●Template"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E18"/>
  <sheetViews>
    <sheetView workbookViewId="0">
      <pane ySplit="1" topLeftCell="A2" activePane="bottomLeft" state="frozen"/>
      <selection pane="bottomLeft" activeCell="C14" sqref="C14"/>
    </sheetView>
  </sheetViews>
  <sheetFormatPr defaultRowHeight="15.75"/>
  <cols>
    <col min="1" max="1" width="3.25" style="138" bestFit="1" customWidth="1"/>
    <col min="2" max="2" width="27.625" style="139" customWidth="1"/>
    <col min="3" max="3" width="13.25" style="140" customWidth="1"/>
    <col min="4" max="4" width="10.125" style="141" bestFit="1" customWidth="1"/>
    <col min="5" max="5" width="23.75" style="142" customWidth="1"/>
    <col min="6" max="6" width="15.625" style="143" customWidth="1"/>
    <col min="7" max="7" width="9.75" style="142" customWidth="1"/>
    <col min="8" max="25" width="1.625" style="3" hidden="1" customWidth="1"/>
    <col min="26" max="26" width="4.625" style="3" customWidth="1"/>
    <col min="27" max="27" width="47.875" style="10" customWidth="1"/>
    <col min="28" max="31" width="9.625" style="9" customWidth="1"/>
    <col min="32" max="16384" width="9" style="3"/>
  </cols>
  <sheetData>
    <row r="1" spans="1:31">
      <c r="A1" s="107" t="s">
        <v>15</v>
      </c>
      <c r="B1" s="108" t="s">
        <v>27</v>
      </c>
      <c r="C1" s="109" t="s">
        <v>25</v>
      </c>
      <c r="D1" s="110" t="s">
        <v>16</v>
      </c>
      <c r="E1" s="110" t="s">
        <v>17</v>
      </c>
      <c r="F1" s="110" t="s">
        <v>18</v>
      </c>
      <c r="G1" s="110" t="s">
        <v>19</v>
      </c>
      <c r="H1" s="78" t="s">
        <v>72</v>
      </c>
      <c r="I1" s="78" t="s">
        <v>73</v>
      </c>
      <c r="J1" s="78" t="s">
        <v>74</v>
      </c>
      <c r="K1" s="78" t="s">
        <v>75</v>
      </c>
      <c r="L1" s="78" t="s">
        <v>76</v>
      </c>
      <c r="M1" s="78" t="s">
        <v>77</v>
      </c>
      <c r="N1" s="78" t="s">
        <v>78</v>
      </c>
      <c r="O1" s="78" t="s">
        <v>79</v>
      </c>
      <c r="P1" s="78" t="s">
        <v>80</v>
      </c>
      <c r="Q1" s="78" t="s">
        <v>81</v>
      </c>
      <c r="R1" s="78" t="s">
        <v>82</v>
      </c>
      <c r="S1" s="78" t="s">
        <v>83</v>
      </c>
      <c r="T1" s="78" t="s">
        <v>84</v>
      </c>
      <c r="U1" s="78" t="s">
        <v>85</v>
      </c>
      <c r="V1" s="78" t="s">
        <v>86</v>
      </c>
      <c r="W1" s="78" t="s">
        <v>87</v>
      </c>
      <c r="X1" s="78" t="s">
        <v>88</v>
      </c>
      <c r="Y1" s="78" t="s">
        <v>89</v>
      </c>
      <c r="Z1" s="79" t="s">
        <v>90</v>
      </c>
      <c r="AA1" s="80" t="s">
        <v>20</v>
      </c>
      <c r="AB1" s="81" t="s">
        <v>108</v>
      </c>
      <c r="AC1" s="81" t="s">
        <v>91</v>
      </c>
      <c r="AD1" s="81" t="s">
        <v>92</v>
      </c>
      <c r="AE1" s="82" t="s">
        <v>93</v>
      </c>
    </row>
    <row r="2" spans="1:31" ht="25.5">
      <c r="A2" s="83">
        <v>1</v>
      </c>
      <c r="B2" s="84" t="s">
        <v>182</v>
      </c>
      <c r="C2" s="85" t="str">
        <f>IFERROR(VLOOKUP(●年月日置換!$B2,アクション情報!A:B,2,FALSE),"")</f>
        <v>Loop_ForEachFile</v>
      </c>
      <c r="D2" s="86" t="s">
        <v>160</v>
      </c>
      <c r="E2" s="103" t="str">
        <f>メイン!E6</f>
        <v>D:\VBA\input\</v>
      </c>
      <c r="F2" s="87" t="s">
        <v>171</v>
      </c>
      <c r="G2" s="86" t="b">
        <v>1</v>
      </c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9"/>
      <c r="AA2" s="90" t="str">
        <f>IFERROR(VLOOKUP(●年月日置換!$C2,アクション情報!B:G,3,FALSE),"")</f>
        <v>フォルダ内のファイルを巡回する
フィルタ…任意設定、”*.xlsx”など</v>
      </c>
      <c r="AB2" s="91" t="str">
        <f>IFERROR(VLOOKUP(●年月日置換!$C2,アクション情報!B:H,4,FALSE),"")</f>
        <v>ループ</v>
      </c>
      <c r="AC2" s="91" t="str">
        <f>IFERROR(VLOOKUP(●年月日置換!$C2,アクション情報!B:I,5,FALSE),"")</f>
        <v>フォルダパス</v>
      </c>
      <c r="AD2" s="91" t="str">
        <f>IFERROR(VLOOKUP(●年月日置換!$C2,アクション情報!B:J,6,FALSE),"")</f>
        <v>（フィルタ）</v>
      </c>
      <c r="AE2" s="92" t="str">
        <f>IFERROR(VLOOKUP(●年月日置換!$C2,アクション情報!B:K,7,FALSE),"")</f>
        <v>-</v>
      </c>
    </row>
    <row r="3" spans="1:31" ht="25.5">
      <c r="A3" s="83">
        <v>2</v>
      </c>
      <c r="B3" s="84" t="s">
        <v>39</v>
      </c>
      <c r="C3" s="85" t="str">
        <f>IFERROR(VLOOKUP(●年月日置換!$B3,アクション情報!A:B,2,FALSE),"")</f>
        <v>Excel_OpenBook</v>
      </c>
      <c r="D3" s="86" t="s">
        <v>161</v>
      </c>
      <c r="E3" s="103" t="s">
        <v>159</v>
      </c>
      <c r="F3" s="87" t="b">
        <v>0</v>
      </c>
      <c r="G3" s="86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89"/>
      <c r="AA3" s="90" t="str">
        <f>IFERROR(VLOOKUP(●年月日置換!$C3,アクション情報!B:G,3,FALSE),"")</f>
        <v>ブックをパス（値1）からインスタンスを開いて、ブック変数に格納する
インスタンス表示フラグ（値２）…True：表示 / False：非表示</v>
      </c>
      <c r="AB3" s="91" t="str">
        <f>IFERROR(VLOOKUP(●年月日置換!$C3,アクション情報!B:H,4,FALSE),"")</f>
        <v>ブック</v>
      </c>
      <c r="AC3" s="91" t="str">
        <f>IFERROR(VLOOKUP(●年月日置換!$C3,アクション情報!B:I,5,FALSE),"")</f>
        <v>ファイルパス</v>
      </c>
      <c r="AD3" s="91" t="str">
        <f>IFERROR(VLOOKUP(●年月日置換!$C3,アクション情報!B:J,6,FALSE),"")</f>
        <v>表示フラグ</v>
      </c>
      <c r="AE3" s="92" t="str">
        <f>IFERROR(VLOOKUP(●年月日置換!$C3,アクション情報!B:K,7,FALSE),"")</f>
        <v>-</v>
      </c>
    </row>
    <row r="4" spans="1:31">
      <c r="A4" s="83">
        <v>3</v>
      </c>
      <c r="B4" s="84" t="s">
        <v>163</v>
      </c>
      <c r="C4" s="85" t="str">
        <f>IFERROR(VLOOKUP(●年月日置換!$B4,アクション情報!A:B,2,FALSE),"")</f>
        <v>Excel_Loop_ForEachSheet</v>
      </c>
      <c r="D4" s="86" t="s">
        <v>162</v>
      </c>
      <c r="E4" s="104" t="s">
        <v>161</v>
      </c>
      <c r="F4" s="87"/>
      <c r="G4" s="86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9"/>
      <c r="AA4" s="90" t="str">
        <f>IFERROR(VLOOKUP(テーブル146[[#This Row],[-]],アクション情報!B:G,3,FALSE),"")</f>
        <v>条件分岐IFの終わり</v>
      </c>
      <c r="AB4" s="91" t="str">
        <f>IFERROR(VLOOKUP(テーブル146[[#This Row],[-]],アクション情報!B:H,4,FALSE),"")</f>
        <v>-</v>
      </c>
      <c r="AC4" s="91" t="str">
        <f>IFERROR(VLOOKUP(テーブル146[[#This Row],[-]],アクション情報!B:I,5,FALSE),"")</f>
        <v>-</v>
      </c>
      <c r="AD4" s="91" t="str">
        <f>IFERROR(VLOOKUP(テーブル146[[#This Row],[-]],アクション情報!B:J,6,FALSE),"")</f>
        <v>-</v>
      </c>
      <c r="AE4" s="92">
        <f>IFERROR(VLOOKUP(●年月日置換!$C4,アクション情報!B:K,7,FALSE),"")</f>
        <v>0</v>
      </c>
    </row>
    <row r="5" spans="1:31">
      <c r="A5" s="83">
        <v>4</v>
      </c>
      <c r="B5" s="84" t="s">
        <v>184</v>
      </c>
      <c r="C5" s="85" t="str">
        <f>IFERROR(VLOOKUP(●年月日置換!$B5,アクション情報!A:B,2,FALSE),"")</f>
        <v>Excel_Loop_SearchCells</v>
      </c>
      <c r="D5" s="86" t="s">
        <v>191</v>
      </c>
      <c r="E5" s="104" t="s">
        <v>161</v>
      </c>
      <c r="F5" s="87" t="s">
        <v>162</v>
      </c>
      <c r="G5" s="86" t="s">
        <v>199</v>
      </c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89"/>
      <c r="AA5" s="90" t="str">
        <f>IFERROR(VLOOKUP(●年月日置換!$C5,アクション情報!B:G,3,FALSE),"")</f>
        <v>開いているブック内のシートのセルを検索して照合セルの巡回</v>
      </c>
      <c r="AB5" s="91" t="str">
        <f>IFERROR(VLOOKUP(●年月日置換!$C5,アクション情報!B:H,4,FALSE),"")</f>
        <v>セル</v>
      </c>
      <c r="AC5" s="91" t="str">
        <f>IFERROR(VLOOKUP(●年月日置換!$C5,アクション情報!B:I,5,FALSE),"")</f>
        <v>ブック</v>
      </c>
      <c r="AD5" s="91" t="str">
        <f>IFERROR(VLOOKUP(●年月日置換!$C5,アクション情報!B:J,6,FALSE),"")</f>
        <v>シート</v>
      </c>
      <c r="AE5" s="92" t="str">
        <f>IFERROR(VLOOKUP(●年月日置換!$C5,アクション情報!B:K,7,FALSE),"")</f>
        <v>検索文字列</v>
      </c>
    </row>
    <row r="6" spans="1:31">
      <c r="A6" s="83">
        <v>6</v>
      </c>
      <c r="B6" s="84" t="s">
        <v>146</v>
      </c>
      <c r="C6" s="85" t="str">
        <f>IFERROR(VLOOKUP(●年月日置換!$B6,アクション情報!A:B,2,FALSE),"")</f>
        <v>Condition_If</v>
      </c>
      <c r="D6" s="86"/>
      <c r="E6" s="104" t="s">
        <v>200</v>
      </c>
      <c r="F6" s="87"/>
      <c r="G6" s="86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9"/>
      <c r="AA6" s="90"/>
      <c r="AB6" s="91"/>
      <c r="AC6" s="91"/>
      <c r="AD6" s="91"/>
      <c r="AE6" s="92" t="str">
        <f>IFERROR(VLOOKUP(●年月日置換!$C6,アクション情報!B:K,7,FALSE),"")</f>
        <v>-</v>
      </c>
    </row>
    <row r="7" spans="1:31">
      <c r="A7" s="83">
        <v>7</v>
      </c>
      <c r="B7" s="84" t="s">
        <v>146</v>
      </c>
      <c r="C7" s="85" t="str">
        <f>IFERROR(VLOOKUP(●年月日置換!$B7,アクション情報!A:B,2,FALSE),"")</f>
        <v>Condition_If</v>
      </c>
      <c r="D7" s="86"/>
      <c r="E7" s="104" t="s">
        <v>216</v>
      </c>
      <c r="F7" s="87"/>
      <c r="G7" s="86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9"/>
      <c r="AA7" s="90"/>
      <c r="AB7" s="91"/>
      <c r="AC7" s="91"/>
      <c r="AD7" s="91"/>
      <c r="AE7" s="92" t="str">
        <f>IFERROR(VLOOKUP(●年月日置換!$C7,アクション情報!B:K,7,FALSE),"")</f>
        <v>-</v>
      </c>
    </row>
    <row r="8" spans="1:31">
      <c r="A8" s="83">
        <v>8</v>
      </c>
      <c r="B8" s="84" t="s">
        <v>201</v>
      </c>
      <c r="C8" s="85" t="str">
        <f>IFERROR(VLOOKUP(●年月日置換!$B8,アクション情報!A:B,2,FALSE),"")</f>
        <v>Excel_SetCell</v>
      </c>
      <c r="D8" s="86"/>
      <c r="E8" s="104" t="s">
        <v>217</v>
      </c>
      <c r="F8" s="87" t="s">
        <v>164</v>
      </c>
      <c r="G8" s="86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9"/>
      <c r="AA8" s="90"/>
      <c r="AB8" s="91"/>
      <c r="AC8" s="91"/>
      <c r="AD8" s="91"/>
      <c r="AE8" s="92"/>
    </row>
    <row r="9" spans="1:31">
      <c r="A9" s="83">
        <v>9</v>
      </c>
      <c r="B9" s="84" t="s">
        <v>201</v>
      </c>
      <c r="C9" s="85" t="str">
        <f>IFERROR(VLOOKUP(●年月日置換!$B9,アクション情報!A:B,2,FALSE),"")</f>
        <v>Excel_SetCell</v>
      </c>
      <c r="D9" s="86"/>
      <c r="E9" s="104" t="s">
        <v>218</v>
      </c>
      <c r="F9" s="87" t="s">
        <v>165</v>
      </c>
      <c r="G9" s="86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9"/>
      <c r="AA9" s="90"/>
      <c r="AB9" s="91"/>
      <c r="AC9" s="91"/>
      <c r="AD9" s="91"/>
      <c r="AE9" s="92"/>
    </row>
    <row r="10" spans="1:31">
      <c r="A10" s="83">
        <v>10</v>
      </c>
      <c r="B10" s="84" t="s">
        <v>201</v>
      </c>
      <c r="C10" s="85" t="str">
        <f>IFERROR(VLOOKUP(●年月日置換!$B10,アクション情報!A:B,2,FALSE),"")</f>
        <v>Excel_SetCell</v>
      </c>
      <c r="D10" s="86"/>
      <c r="E10" s="104" t="s">
        <v>219</v>
      </c>
      <c r="F10" s="87" t="s">
        <v>215</v>
      </c>
      <c r="G10" s="86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9"/>
      <c r="AA10" s="90"/>
      <c r="AB10" s="91"/>
      <c r="AC10" s="91"/>
      <c r="AD10" s="91"/>
      <c r="AE10" s="92"/>
    </row>
    <row r="11" spans="1:31">
      <c r="A11" s="83">
        <v>11</v>
      </c>
      <c r="B11" s="84" t="s">
        <v>167</v>
      </c>
      <c r="C11" s="85" t="str">
        <f>IFERROR(VLOOKUP(●年月日置換!$B11,アクション情報!A:B,2,FALSE),"")</f>
        <v>Condition_EndIf</v>
      </c>
      <c r="D11" s="86"/>
      <c r="E11" s="104"/>
      <c r="F11" s="87"/>
      <c r="G11" s="86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9"/>
      <c r="AA11" s="90"/>
      <c r="AB11" s="91"/>
      <c r="AC11" s="91"/>
      <c r="AD11" s="91"/>
      <c r="AE11" s="92" t="str">
        <f>IFERROR(VLOOKUP(●年月日置換!$C11,アクション情報!B:K,7,FALSE),"")</f>
        <v>-</v>
      </c>
    </row>
    <row r="12" spans="1:31">
      <c r="A12" s="83">
        <v>12</v>
      </c>
      <c r="B12" s="84" t="s">
        <v>167</v>
      </c>
      <c r="C12" s="85" t="str">
        <f>IFERROR(VLOOKUP(●年月日置換!$B12,アクション情報!A:B,2,FALSE),"")</f>
        <v>Condition_EndIf</v>
      </c>
      <c r="D12" s="86"/>
      <c r="E12" s="104"/>
      <c r="F12" s="87"/>
      <c r="G12" s="86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9"/>
      <c r="AA12" s="90"/>
      <c r="AB12" s="91"/>
      <c r="AC12" s="91"/>
      <c r="AD12" s="91"/>
      <c r="AE12" s="92" t="str">
        <f>IFERROR(VLOOKUP(●年月日置換!$C12,アクション情報!B:K,7,FALSE),"")</f>
        <v>-</v>
      </c>
    </row>
    <row r="13" spans="1:31" ht="31.5">
      <c r="A13" s="83">
        <v>13</v>
      </c>
      <c r="B13" s="84" t="s">
        <v>185</v>
      </c>
      <c r="C13" s="85" t="str">
        <f>IFERROR(VLOOKUP(●年月日置換!$B13,アクション情報!A:B,2,FALSE),"")</f>
        <v>Excel_Loop_NextCell</v>
      </c>
      <c r="D13" s="86" t="s">
        <v>197</v>
      </c>
      <c r="E13" s="104"/>
      <c r="F13" s="87"/>
      <c r="G13" s="86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89"/>
      <c r="AA13" s="90" t="str">
        <f>IFERROR(VLOOKUP(●年月日置換!$C13,アクション情報!B:G,3,FALSE),"")</f>
        <v>照合セルの巡回のループ管理
次シート…あり→開始行へ／なし→ループ終了</v>
      </c>
      <c r="AB13" s="91" t="str">
        <f>IFERROR(VLOOKUP(●年月日置換!$C13,アクション情報!B:H,4,FALSE),"")</f>
        <v>セル</v>
      </c>
      <c r="AC13" s="91">
        <f>IFERROR(VLOOKUP(●年月日置換!$C13,アクション情報!B:I,5,FALSE),"")</f>
        <v>0</v>
      </c>
      <c r="AD13" s="91">
        <f>IFERROR(VLOOKUP(●年月日置換!$C13,アクション情報!B:J,6,FALSE),"")</f>
        <v>0</v>
      </c>
      <c r="AE13" s="92">
        <f>IFERROR(VLOOKUP(●年月日置換!$C13,アクション情報!B:K,7,FALSE),"")</f>
        <v>0</v>
      </c>
    </row>
    <row r="14" spans="1:31" ht="25.5">
      <c r="A14" s="83">
        <v>14</v>
      </c>
      <c r="B14" s="84" t="s">
        <v>174</v>
      </c>
      <c r="C14" s="85" t="str">
        <f>IFERROR(VLOOKUP(●年月日置換!$B14,アクション情報!A:B,2,FALSE),"")</f>
        <v>Excel_Loop_NextSheet</v>
      </c>
      <c r="D14" s="86" t="s">
        <v>198</v>
      </c>
      <c r="E14" s="104"/>
      <c r="F14" s="87"/>
      <c r="G14" s="86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9"/>
      <c r="AA14" s="90" t="str">
        <f>IFERROR(VLOOKUP(●年月日置換!$C14,アクション情報!B:G,3,FALSE),"")</f>
        <v>ブック内のシートの巡回のループ管理
次シート…あり→開始行へ／なし→ループ終了</v>
      </c>
      <c r="AB14" s="91" t="str">
        <f>IFERROR(VLOOKUP(●年月日置換!$C14,アクション情報!B:H,4,FALSE),"")</f>
        <v>シート</v>
      </c>
      <c r="AC14" s="91">
        <f>IFERROR(VLOOKUP(●年月日置換!$C14,アクション情報!B:I,5,FALSE),"")</f>
        <v>0</v>
      </c>
      <c r="AD14" s="91">
        <f>IFERROR(VLOOKUP(●年月日置換!$C14,アクション情報!B:J,6,FALSE),"")</f>
        <v>0</v>
      </c>
      <c r="AE14" s="92">
        <f>IFERROR(VLOOKUP(●年月日置換!$C14,アクション情報!B:K,7,FALSE),"")</f>
        <v>0</v>
      </c>
    </row>
    <row r="15" spans="1:31" ht="31.5">
      <c r="A15" s="83">
        <v>15</v>
      </c>
      <c r="B15" s="84" t="s">
        <v>32</v>
      </c>
      <c r="C15" s="85" t="str">
        <f>IFERROR(VLOOKUP(●年月日置換!$B15,アクション情報!A:B,2,FALSE),"")</f>
        <v>Excel_SaveBook</v>
      </c>
      <c r="D15" s="86" t="s">
        <v>161</v>
      </c>
      <c r="E15" s="104" t="s">
        <v>159</v>
      </c>
      <c r="F15" s="103" t="str">
        <f>メイン!E6</f>
        <v>D:\VBA\input\</v>
      </c>
      <c r="G15" s="86" t="str">
        <f>メイン!E7</f>
        <v>D:\VBA\output\</v>
      </c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89"/>
      <c r="AA15" s="90" t="str">
        <f>IFERROR(VLOOKUP(●年月日置換!$C15,アクション情報!B:G,3,FALSE),"")</f>
        <v>エクセル（変数）を保存する
指定パス（値１）… なし：上書き保存 / あり：名付けて保存</v>
      </c>
      <c r="AB15" s="91" t="str">
        <f>IFERROR(VLOOKUP(●年月日置換!$C15,アクション情報!B:H,4,FALSE),"")</f>
        <v>ブック</v>
      </c>
      <c r="AC15" s="91" t="str">
        <f>IFERROR(VLOOKUP(●年月日置換!$C15,アクション情報!B:I,5,FALSE),"")</f>
        <v>（保存パス）</v>
      </c>
      <c r="AD15" s="91" t="str">
        <f>IFERROR(VLOOKUP(●年月日置換!$C15,アクション情報!B:J,6,FALSE),"")</f>
        <v>-</v>
      </c>
      <c r="AE15" s="92" t="str">
        <f>IFERROR(VLOOKUP(●年月日置換!$C15,アクション情報!B:K,7,FALSE),"")</f>
        <v>-</v>
      </c>
    </row>
    <row r="16" spans="1:31">
      <c r="A16" s="83">
        <v>16</v>
      </c>
      <c r="B16" s="84" t="s">
        <v>31</v>
      </c>
      <c r="C16" s="85" t="str">
        <f>IFERROR(VLOOKUP(●年月日置換!$B16,アクション情報!A:B,2,FALSE),"")</f>
        <v>Excel_CloseBook</v>
      </c>
      <c r="D16" s="86" t="s">
        <v>224</v>
      </c>
      <c r="E16" s="104"/>
      <c r="F16" s="87"/>
      <c r="G16" s="86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89"/>
      <c r="AA16" s="90"/>
      <c r="AB16" s="91"/>
      <c r="AC16" s="91"/>
      <c r="AD16" s="91"/>
      <c r="AE16" s="92"/>
    </row>
    <row r="17" spans="1:31" ht="25.5">
      <c r="A17" s="106">
        <v>17</v>
      </c>
      <c r="B17" s="94" t="s">
        <v>183</v>
      </c>
      <c r="C17" s="95" t="str">
        <f>IFERROR(VLOOKUP(●年月日置換!$B17,アクション情報!A:B,2,FALSE),"")</f>
        <v>Loop_NextFile</v>
      </c>
      <c r="D17" s="96" t="s">
        <v>172</v>
      </c>
      <c r="E17" s="105"/>
      <c r="F17" s="97"/>
      <c r="G17" s="96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9"/>
      <c r="AA17" s="90" t="str">
        <f>IFERROR(VLOOKUP(●年月日置換!$C17,アクション情報!B:G,3,FALSE),"")</f>
        <v>フォルダ内のファイル巡回のループ管理
次のファイル…あり → 開始行／なし → ループ終了</v>
      </c>
      <c r="AB17" s="91" t="str">
        <f>IFERROR(VLOOKUP(●年月日置換!$C17,アクション情報!B:H,4,FALSE),"")</f>
        <v>ループ</v>
      </c>
      <c r="AC17" s="91" t="str">
        <f>IFERROR(VLOOKUP(●年月日置換!$C17,アクション情報!B:I,5,FALSE),"")</f>
        <v>-</v>
      </c>
      <c r="AD17" s="91" t="str">
        <f>IFERROR(VLOOKUP(●年月日置換!$C17,アクション情報!B:J,6,FALSE),"")</f>
        <v>-</v>
      </c>
      <c r="AE17" s="92" t="str">
        <f>IFERROR(VLOOKUP(●年月日置換!$C17,アクション情報!B:K,7,FALSE),"")</f>
        <v>-</v>
      </c>
    </row>
    <row r="18" spans="1:31" ht="18.75">
      <c r="A18" s="131">
        <v>18</v>
      </c>
      <c r="B18" s="132"/>
      <c r="C18" s="133"/>
      <c r="D18" s="134"/>
      <c r="E18" s="135"/>
      <c r="F18" s="136"/>
      <c r="G18" s="137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9"/>
      <c r="AA18" s="100" t="str">
        <f>IFERROR(VLOOKUP(●年月日置換!$C18,アクション情報!B:G,3,FALSE),"")</f>
        <v/>
      </c>
      <c r="AB18" s="101" t="str">
        <f>IFERROR(VLOOKUP(●年月日置換!$C18,アクション情報!B:H,4,FALSE),"")</f>
        <v/>
      </c>
      <c r="AC18" s="101" t="str">
        <f>IFERROR(VLOOKUP(●年月日置換!$C18,アクション情報!B:I,5,FALSE),"")</f>
        <v/>
      </c>
      <c r="AD18" s="101" t="str">
        <f>IFERROR(VLOOKUP(●年月日置換!$C18,アクション情報!B:J,6,FALSE),"")</f>
        <v/>
      </c>
      <c r="AE18" s="102" t="str">
        <f>IFERROR(VLOOKUP(●年月日置換!$C18,アクション情報!B:K,7,FALSE),"")</f>
        <v/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2FD5BB-19F9-4721-9E42-AB2C0921C5F2}">
          <x14:formula1>
            <xm:f>アクション情報!$A$1:$A$109</xm:f>
          </x14:formula1>
          <xm:sqref>B2:B18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E6"/>
  <sheetViews>
    <sheetView workbookViewId="0">
      <pane ySplit="1" topLeftCell="A2" activePane="bottomLeft" state="frozen"/>
      <selection pane="bottomLeft" activeCell="E34" sqref="E34"/>
    </sheetView>
  </sheetViews>
  <sheetFormatPr defaultRowHeight="15.75"/>
  <cols>
    <col min="1" max="1" width="3.25" style="35" bestFit="1" customWidth="1"/>
    <col min="2" max="2" width="24.625" style="77" customWidth="1"/>
    <col min="3" max="3" width="9.625" style="34" customWidth="1"/>
    <col min="4" max="4" width="9.625" style="32" customWidth="1"/>
    <col min="5" max="5" width="33.625" style="33" customWidth="1"/>
    <col min="6" max="6" width="9.625" style="33" customWidth="1"/>
    <col min="7" max="7" width="9.625" style="33" hidden="1" customWidth="1"/>
    <col min="8" max="25" width="1.625" style="3" hidden="1" customWidth="1"/>
    <col min="26" max="26" width="4.625" style="3" customWidth="1"/>
    <col min="27" max="27" width="47.875" style="10" customWidth="1"/>
    <col min="28" max="30" width="9.625" style="9" customWidth="1"/>
    <col min="31" max="31" width="9.625" style="9" hidden="1" customWidth="1"/>
    <col min="32" max="16384" width="9" style="3"/>
  </cols>
  <sheetData>
    <row r="1" spans="1:31" s="28" customFormat="1">
      <c r="A1" s="28" t="s">
        <v>15</v>
      </c>
      <c r="B1" s="32" t="s">
        <v>27</v>
      </c>
      <c r="C1" s="74" t="s">
        <v>25</v>
      </c>
      <c r="D1" s="33" t="s">
        <v>16</v>
      </c>
      <c r="E1" s="33" t="s">
        <v>17</v>
      </c>
      <c r="F1" s="33" t="s">
        <v>18</v>
      </c>
      <c r="G1" s="33" t="s">
        <v>19</v>
      </c>
      <c r="H1" s="28" t="s">
        <v>72</v>
      </c>
      <c r="I1" s="28" t="s">
        <v>73</v>
      </c>
      <c r="J1" s="28" t="s">
        <v>74</v>
      </c>
      <c r="K1" s="28" t="s">
        <v>75</v>
      </c>
      <c r="L1" s="28" t="s">
        <v>76</v>
      </c>
      <c r="M1" s="28" t="s">
        <v>77</v>
      </c>
      <c r="N1" s="28" t="s">
        <v>78</v>
      </c>
      <c r="O1" s="28" t="s">
        <v>79</v>
      </c>
      <c r="P1" s="28" t="s">
        <v>80</v>
      </c>
      <c r="Q1" s="28" t="s">
        <v>81</v>
      </c>
      <c r="R1" s="28" t="s">
        <v>82</v>
      </c>
      <c r="S1" s="28" t="s">
        <v>83</v>
      </c>
      <c r="T1" s="28" t="s">
        <v>84</v>
      </c>
      <c r="U1" s="28" t="s">
        <v>85</v>
      </c>
      <c r="V1" s="28" t="s">
        <v>86</v>
      </c>
      <c r="W1" s="28" t="s">
        <v>87</v>
      </c>
      <c r="X1" s="28" t="s">
        <v>88</v>
      </c>
      <c r="Y1" s="28" t="s">
        <v>89</v>
      </c>
      <c r="Z1" s="70" t="s">
        <v>90</v>
      </c>
      <c r="AA1" s="12" t="s">
        <v>20</v>
      </c>
      <c r="AB1" s="13" t="s">
        <v>108</v>
      </c>
      <c r="AC1" s="14" t="s">
        <v>91</v>
      </c>
      <c r="AD1" s="13" t="s">
        <v>92</v>
      </c>
      <c r="AE1" s="13" t="s">
        <v>93</v>
      </c>
    </row>
    <row r="2" spans="1:31" ht="25.5">
      <c r="A2" s="17">
        <f>ROW()-1</f>
        <v>1</v>
      </c>
      <c r="B2" s="69" t="s">
        <v>182</v>
      </c>
      <c r="C2" s="19" t="str">
        <f>IFERROR(VLOOKUP(テーブル146[[#This Row],[アクション名]],アクション情報!A:B,2,FALSE),"")</f>
        <v>Loop_ForEachFile</v>
      </c>
      <c r="D2" s="20" t="s">
        <v>150</v>
      </c>
      <c r="E2" s="20" t="str">
        <f>メイン!E6</f>
        <v>D:\VBA\input\</v>
      </c>
      <c r="F2" s="20"/>
      <c r="G2" s="20"/>
      <c r="Z2" s="25"/>
      <c r="AA2" s="15" t="str">
        <f>IFERROR(VLOOKUP(テーブル146[[#This Row],[-]],アクション情報!B:G,3,FALSE),"")</f>
        <v>フォルダ内のファイルを巡回する
フィルタ…任意設定、”*.xlsx”など</v>
      </c>
      <c r="AB2" s="16" t="str">
        <f>IFERROR(VLOOKUP(テーブル146[[#This Row],[-]],アクション情報!B:H,4,FALSE),"")</f>
        <v>ループ</v>
      </c>
      <c r="AC2" s="16" t="str">
        <f>IFERROR(VLOOKUP(テーブル146[[#This Row],[-]],アクション情報!B:I,5,FALSE),"")</f>
        <v>フォルダパス</v>
      </c>
      <c r="AD2" s="16" t="str">
        <f>IFERROR(VLOOKUP(テーブル146[[#This Row],[-]],アクション情報!B:J,6,FALSE),"")</f>
        <v>（フィルタ）</v>
      </c>
      <c r="AE2" s="16" t="str">
        <f>IFERROR(VLOOKUP(テーブル146[[#This Row],[-]],アクション情報!B:I,7,FALSE),"")</f>
        <v>-</v>
      </c>
    </row>
    <row r="3" spans="1:31">
      <c r="A3" s="17">
        <f>ROW()-1</f>
        <v>2</v>
      </c>
      <c r="B3" s="69" t="s">
        <v>146</v>
      </c>
      <c r="C3" s="19" t="str">
        <f>IFERROR(VLOOKUP(テーブル146[[#This Row],[アクション名]],アクション情報!A:B,2,FALSE),"")</f>
        <v>Condition_If</v>
      </c>
      <c r="D3" s="20"/>
      <c r="E3" s="20" t="s">
        <v>151</v>
      </c>
      <c r="F3" s="20"/>
      <c r="G3" s="20"/>
      <c r="Z3" s="25"/>
      <c r="AA3" s="15" t="str">
        <f>IFERROR(VLOOKUP(テーブル146[[#This Row],[-]],アクション情報!B:G,3,FALSE),"")</f>
        <v>条件分岐IF</v>
      </c>
      <c r="AB3" s="16" t="str">
        <f>IFERROR(VLOOKUP(テーブル146[[#This Row],[-]],アクション情報!B:H,4,FALSE),"")</f>
        <v>-</v>
      </c>
      <c r="AC3" s="16" t="str">
        <f>IFERROR(VLOOKUP(テーブル146[[#This Row],[-]],アクション情報!B:I,5,FALSE),"")</f>
        <v>条件</v>
      </c>
      <c r="AD3" s="16" t="str">
        <f>IFERROR(VLOOKUP(テーブル146[[#This Row],[-]],アクション情報!B:J,6,FALSE),"")</f>
        <v>-</v>
      </c>
      <c r="AE3" s="16" t="str">
        <f>IFERROR(VLOOKUP(テーブル146[[#This Row],[-]],アクション情報!B:I,7,FALSE),"")</f>
        <v>-</v>
      </c>
    </row>
    <row r="4" spans="1:31">
      <c r="A4" s="17">
        <f>ROW()-1</f>
        <v>3</v>
      </c>
      <c r="B4" s="69" t="s">
        <v>167</v>
      </c>
      <c r="C4" s="19" t="str">
        <f>IFERROR(VLOOKUP(テーブル146[[#This Row],[アクション名]],アクション情報!A:B,2,FALSE),"")</f>
        <v>Condition_EndIf</v>
      </c>
      <c r="D4" s="20"/>
      <c r="E4" s="20"/>
      <c r="F4" s="20"/>
      <c r="G4" s="20"/>
      <c r="Z4" s="25"/>
      <c r="AA4" s="15" t="str">
        <f>IFERROR(VLOOKUP(テーブル146[[#This Row],[-]],アクション情報!B:G,3,FALSE),"")</f>
        <v>条件分岐IFの終わり</v>
      </c>
      <c r="AB4" s="16" t="str">
        <f>IFERROR(VLOOKUP(テーブル146[[#This Row],[-]],アクション情報!B:H,4,FALSE),"")</f>
        <v>-</v>
      </c>
      <c r="AC4" s="16" t="str">
        <f>IFERROR(VLOOKUP(テーブル146[[#This Row],[-]],アクション情報!B:I,5,FALSE),"")</f>
        <v>-</v>
      </c>
      <c r="AD4" s="16" t="str">
        <f>IFERROR(VLOOKUP(テーブル146[[#This Row],[-]],アクション情報!B:J,6,FALSE),"")</f>
        <v>-</v>
      </c>
      <c r="AE4" s="16" t="str">
        <f>IFERROR(VLOOKUP(テーブル146[[#This Row],[-]],アクション情報!B:I,7,FALSE),"")</f>
        <v>-</v>
      </c>
    </row>
    <row r="5" spans="1:31" ht="25.5">
      <c r="A5" s="21">
        <f>ROW()-1</f>
        <v>4</v>
      </c>
      <c r="B5" s="68" t="s">
        <v>183</v>
      </c>
      <c r="C5" s="23" t="str">
        <f>IFERROR(VLOOKUP(テーブル146[[#This Row],[アクション名]],アクション情報!A:B,2,FALSE),"")</f>
        <v>Loop_NextFile</v>
      </c>
      <c r="D5" s="22" t="s">
        <v>150</v>
      </c>
      <c r="E5" s="22"/>
      <c r="F5" s="22"/>
      <c r="G5" s="22"/>
      <c r="Z5" s="25"/>
      <c r="AA5" s="15" t="str">
        <f>IFERROR(VLOOKUP(テーブル146[[#This Row],[-]],アクション情報!B:G,3,FALSE),"")</f>
        <v>フォルダ内のファイル巡回のループ管理
次のファイル…あり → 開始行／なし → ループ終了</v>
      </c>
      <c r="AB5" s="16" t="str">
        <f>IFERROR(VLOOKUP(テーブル146[[#This Row],[-]],アクション情報!B:H,4,FALSE),"")</f>
        <v>ループ</v>
      </c>
      <c r="AC5" s="16" t="str">
        <f>IFERROR(VLOOKUP(テーブル146[[#This Row],[-]],アクション情報!B:I,5,FALSE),"")</f>
        <v>-</v>
      </c>
      <c r="AD5" s="16" t="str">
        <f>IFERROR(VLOOKUP(テーブル146[[#This Row],[-]],アクション情報!B:J,6,FALSE),"")</f>
        <v>-</v>
      </c>
      <c r="AE5" s="16" t="str">
        <f>IFERROR(VLOOKUP(テーブル146[[#This Row],[-]],アクション情報!B:I,7,FALSE),"")</f>
        <v>-</v>
      </c>
    </row>
    <row r="6" spans="1:31">
      <c r="A6" s="71"/>
      <c r="B6" s="75"/>
      <c r="D6" s="33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25"/>
      <c r="AA6" s="63"/>
      <c r="AB6" s="64"/>
      <c r="AC6" s="64"/>
      <c r="AD6" s="64"/>
      <c r="AE6" s="16" t="str">
        <f>IFERROR(VLOOKUP(テーブル146[[#This Row],[-]],アクション情報!B:I,7,FALSE),"")</f>
        <v/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B74B7B-C0B2-4A53-AC95-151BC260FA12}">
          <x14:formula1>
            <xm:f>アクション情報!$A$5:$A$109</xm:f>
          </x14:formula1>
          <xm:sqref>B6</xm:sqref>
        </x14:dataValidation>
        <x14:dataValidation type="list" allowBlank="1" showInputMessage="1" showErrorMessage="1" xr:uid="{1D3B162F-0E2C-43FC-BA0A-93593F273595}">
          <x14:formula1>
            <xm:f>アクション情報!$A$3:$A$109</xm:f>
          </x14:formula1>
          <xm:sqref>B2:B5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1:AE21"/>
  <sheetViews>
    <sheetView workbookViewId="0">
      <pane ySplit="1" topLeftCell="A2" activePane="bottomLeft" state="frozen"/>
      <selection pane="bottomLeft" activeCell="B14" sqref="B14"/>
    </sheetView>
  </sheetViews>
  <sheetFormatPr defaultRowHeight="15.75"/>
  <cols>
    <col min="1" max="1" width="3.25" style="35" bestFit="1" customWidth="1"/>
    <col min="2" max="2" width="22.625" style="76" bestFit="1" customWidth="1"/>
    <col min="3" max="3" width="9.625" style="34" customWidth="1"/>
    <col min="4" max="4" width="9.625" style="32" customWidth="1"/>
    <col min="5" max="5" width="23.625" style="33" customWidth="1"/>
    <col min="6" max="6" width="9.625" style="33" customWidth="1"/>
    <col min="7" max="7" width="9.625" style="33" hidden="1" customWidth="1"/>
    <col min="8" max="25" width="1.625" style="3" hidden="1" customWidth="1"/>
    <col min="26" max="26" width="4.625" style="3" customWidth="1"/>
    <col min="27" max="27" width="47.875" style="10" customWidth="1"/>
    <col min="28" max="30" width="9.625" style="9" customWidth="1"/>
    <col min="31" max="31" width="9.625" style="9" hidden="1" customWidth="1"/>
    <col min="32" max="16384" width="9" style="3"/>
  </cols>
  <sheetData>
    <row r="1" spans="1:31">
      <c r="A1" s="28" t="s">
        <v>15</v>
      </c>
      <c r="B1" s="32" t="s">
        <v>27</v>
      </c>
      <c r="C1" s="33" t="s">
        <v>25</v>
      </c>
      <c r="D1" s="33" t="s">
        <v>16</v>
      </c>
      <c r="E1" s="33" t="s">
        <v>17</v>
      </c>
      <c r="F1" s="33" t="s">
        <v>18</v>
      </c>
      <c r="G1" s="33" t="s">
        <v>19</v>
      </c>
      <c r="H1" s="3" t="s">
        <v>72</v>
      </c>
      <c r="I1" s="3" t="s">
        <v>73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87</v>
      </c>
      <c r="X1" s="3" t="s">
        <v>88</v>
      </c>
      <c r="Y1" s="3" t="s">
        <v>89</v>
      </c>
      <c r="Z1" s="24" t="s">
        <v>90</v>
      </c>
      <c r="AA1" s="12" t="s">
        <v>20</v>
      </c>
      <c r="AB1" s="13" t="s">
        <v>108</v>
      </c>
      <c r="AC1" s="14" t="s">
        <v>91</v>
      </c>
      <c r="AD1" s="13" t="s">
        <v>92</v>
      </c>
      <c r="AE1" s="13" t="s">
        <v>93</v>
      </c>
    </row>
    <row r="2" spans="1:31" ht="25.5">
      <c r="A2" s="17">
        <f>ROW()-1</f>
        <v>1</v>
      </c>
      <c r="B2" s="18" t="s">
        <v>38</v>
      </c>
      <c r="C2" s="19" t="str">
        <f>IFERROR(VLOOKUP(テーブル14[[#This Row],[アクション名]],アクション情報!A:B,2,FALSE),"")</f>
        <v>Excel_OpenBook</v>
      </c>
      <c r="D2" s="20" t="s">
        <v>65</v>
      </c>
      <c r="E2" s="20" t="str">
        <f>メイン!E6&amp;"data.xlsx"</f>
        <v>D:\VBA\input\data.xlsx</v>
      </c>
      <c r="F2" s="20" t="b">
        <v>0</v>
      </c>
      <c r="G2" s="20"/>
      <c r="Z2" s="25"/>
      <c r="AA2" s="15" t="str">
        <f>IFERROR(VLOOKUP(テーブル14[[#This Row],[-]],アクション情報!B:G,3,FALSE),"")</f>
        <v>ブックをパス（値1）からインスタンスを開いて、ブック変数に格納する
インスタンス表示フラグ（値２）…True：表示 / False：非表示</v>
      </c>
      <c r="AB2" s="16" t="str">
        <f>IFERROR(VLOOKUP(テーブル14[[#This Row],[-]],アクション情報!B:H,4,FALSE),"")</f>
        <v>ブック</v>
      </c>
      <c r="AC2" s="16" t="str">
        <f>IFERROR(VLOOKUP(テーブル14[[#This Row],[-]],アクション情報!B:I,5,FALSE),"")</f>
        <v>ファイルパス</v>
      </c>
      <c r="AD2" s="16" t="str">
        <f>IFERROR(VLOOKUP(テーブル14[[#This Row],[-]],アクション情報!B:J,6,FALSE),"")</f>
        <v>表示フラグ</v>
      </c>
      <c r="AE2" s="16" t="str">
        <f>IFERROR(VLOOKUP(テーブル14[[#This Row],[-]],アクション情報!B:I,7,FALSE),"")</f>
        <v>-</v>
      </c>
    </row>
    <row r="3" spans="1:31" ht="25.5">
      <c r="A3" s="17">
        <f>ROW()-1</f>
        <v>2</v>
      </c>
      <c r="B3" s="18" t="s">
        <v>69</v>
      </c>
      <c r="C3" s="19" t="str">
        <f>IFERROR(VLOOKUP(テーブル14[[#This Row],[アクション名]],アクション情報!A:B,2,FALSE),"")</f>
        <v>Excel_NewBook</v>
      </c>
      <c r="D3" s="20" t="s">
        <v>64</v>
      </c>
      <c r="E3" s="20" t="b">
        <v>0</v>
      </c>
      <c r="F3" s="20"/>
      <c r="G3" s="20"/>
      <c r="Z3" s="25"/>
      <c r="AA3" s="15" t="str">
        <f>IFERROR(VLOOKUP(テーブル14[[#This Row],[-]],アクション情報!B:G,3,FALSE),"")</f>
        <v>ブックのインスタンスを新規作成して、ブック変数に格納する
インスタンス表示フラグ（値1）…True：表示 / False：非表示</v>
      </c>
      <c r="AB3" s="16" t="str">
        <f>IFERROR(VLOOKUP(テーブル14[[#This Row],[-]],アクション情報!B:H,4,FALSE),"")</f>
        <v>ブック</v>
      </c>
      <c r="AC3" s="16" t="str">
        <f>IFERROR(VLOOKUP(テーブル14[[#This Row],[-]],アクション情報!B:I,5,FALSE),"")</f>
        <v>表示フラグ</v>
      </c>
      <c r="AD3" s="16" t="str">
        <f>IFERROR(VLOOKUP(テーブル14[[#This Row],[-]],アクション情報!B:J,6,FALSE),"")</f>
        <v>-</v>
      </c>
      <c r="AE3" s="16" t="str">
        <f>IFERROR(VLOOKUP(テーブル14[[#This Row],[-]],アクション情報!B:I,7,FALSE),"")</f>
        <v>-</v>
      </c>
    </row>
    <row r="4" spans="1:31">
      <c r="A4" s="17">
        <f t="shared" ref="A4:A10" si="0">ROW()-1</f>
        <v>3</v>
      </c>
      <c r="B4" s="18" t="s">
        <v>36</v>
      </c>
      <c r="C4" s="19" t="str">
        <f>IFERROR(VLOOKUP(テーブル14[[#This Row],[アクション名]],アクション情報!A:B,2,FALSE),"")</f>
        <v xml:space="preserve">Excel_SetSheetVar </v>
      </c>
      <c r="D4" s="20" t="s">
        <v>44</v>
      </c>
      <c r="E4" s="20" t="s">
        <v>46</v>
      </c>
      <c r="F4" s="20"/>
      <c r="G4" s="20"/>
      <c r="Z4" s="25"/>
      <c r="AA4" s="15" t="str">
        <f>IFERROR(VLOOKUP(テーブル14[[#This Row],[-]],アクション情報!B:G,3,FALSE),"")</f>
        <v>エクセルのシート名（値１）をシート変数に格納する</v>
      </c>
      <c r="AB4" s="16" t="str">
        <f>IFERROR(VLOOKUP(テーブル14[[#This Row],[-]],アクション情報!B:H,4,FALSE),"")</f>
        <v>シート</v>
      </c>
      <c r="AC4" s="16" t="str">
        <f>IFERROR(VLOOKUP(テーブル14[[#This Row],[-]],アクション情報!B:I,5,FALSE),"")</f>
        <v>シート名</v>
      </c>
      <c r="AD4" s="16" t="str">
        <f>IFERROR(VLOOKUP(テーブル14[[#This Row],[-]],アクション情報!B:J,6,FALSE),"")</f>
        <v>-</v>
      </c>
      <c r="AE4" s="16" t="str">
        <f>IFERROR(VLOOKUP(テーブル14[[#This Row],[-]],アクション情報!B:I,7,FALSE),"")</f>
        <v>-</v>
      </c>
    </row>
    <row r="5" spans="1:31">
      <c r="A5" s="17">
        <f t="shared" si="0"/>
        <v>4</v>
      </c>
      <c r="B5" s="18" t="s">
        <v>36</v>
      </c>
      <c r="C5" s="19" t="str">
        <f>IFERROR(VLOOKUP(テーブル14[[#This Row],[アクション名]],アクション情報!A:B,2,FALSE),"")</f>
        <v xml:space="preserve">Excel_SetSheetVar </v>
      </c>
      <c r="D5" s="20" t="s">
        <v>66</v>
      </c>
      <c r="E5" s="20" t="s">
        <v>47</v>
      </c>
      <c r="F5" s="20"/>
      <c r="G5" s="20"/>
      <c r="Z5" s="25"/>
      <c r="AA5" s="15" t="str">
        <f>IFERROR(VLOOKUP(テーブル14[[#This Row],[-]],アクション情報!B:G,3,FALSE),"")</f>
        <v>エクセルのシート名（値１）をシート変数に格納する</v>
      </c>
      <c r="AB5" s="16" t="str">
        <f>IFERROR(VLOOKUP(テーブル14[[#This Row],[-]],アクション情報!B:H,4,FALSE),"")</f>
        <v>シート</v>
      </c>
      <c r="AC5" s="16" t="str">
        <f>IFERROR(VLOOKUP(テーブル14[[#This Row],[-]],アクション情報!B:I,5,FALSE),"")</f>
        <v>シート名</v>
      </c>
      <c r="AD5" s="16" t="str">
        <f>IFERROR(VLOOKUP(テーブル14[[#This Row],[-]],アクション情報!B:J,6,FALSE),"")</f>
        <v>-</v>
      </c>
      <c r="AE5" s="16" t="str">
        <f>IFERROR(VLOOKUP(テーブル14[[#This Row],[-]],アクション情報!B:I,7,FALSE),"")</f>
        <v>-</v>
      </c>
    </row>
    <row r="6" spans="1:31">
      <c r="A6" s="17">
        <f t="shared" si="0"/>
        <v>5</v>
      </c>
      <c r="B6" s="20" t="s">
        <v>34</v>
      </c>
      <c r="C6" s="19" t="str">
        <f>IFERROR(VLOOKUP(テーブル14[[#This Row],[アクション名]],アクション情報!A:B,2,FALSE),"")</f>
        <v>Excel_CopyRange</v>
      </c>
      <c r="D6" s="20" t="s">
        <v>170</v>
      </c>
      <c r="E6" s="20" t="s">
        <v>67</v>
      </c>
      <c r="F6" s="20"/>
      <c r="G6" s="20"/>
      <c r="Z6" s="25"/>
      <c r="AA6" s="15" t="str">
        <f>IFERROR(VLOOKUP(テーブル14[[#This Row],[-]],アクション情報!B:G,3,FALSE),"")</f>
        <v>エクセルのパス（値１）の範囲のインスタンスをRange変数に保持する</v>
      </c>
      <c r="AB6" s="16" t="str">
        <f>IFERROR(VLOOKUP(テーブル14[[#This Row],[-]],アクション情報!B:H,4,FALSE),"")</f>
        <v>レンジ</v>
      </c>
      <c r="AC6" s="16" t="str">
        <f>IFERROR(VLOOKUP(テーブル14[[#This Row],[-]],アクション情報!B:I,5,FALSE),"")</f>
        <v>レンジパス</v>
      </c>
      <c r="AD6" s="16" t="str">
        <f>IFERROR(VLOOKUP(テーブル14[[#This Row],[-]],アクション情報!B:J,6,FALSE),"")</f>
        <v>-</v>
      </c>
      <c r="AE6" s="16" t="str">
        <f>IFERROR(VLOOKUP(テーブル14[[#This Row],[-]],アクション情報!B:I,7,FALSE),"")</f>
        <v>-</v>
      </c>
    </row>
    <row r="7" spans="1:31">
      <c r="A7" s="17">
        <f t="shared" si="0"/>
        <v>6</v>
      </c>
      <c r="B7" s="20" t="s">
        <v>29</v>
      </c>
      <c r="C7" s="19" t="str">
        <f>IFERROR(VLOOKUP(テーブル14[[#This Row],[アクション名]],アクション情報!A:B,2,FALSE),"")</f>
        <v>Excel_PasteRange</v>
      </c>
      <c r="D7" s="20" t="s">
        <v>170</v>
      </c>
      <c r="E7" s="20" t="s">
        <v>68</v>
      </c>
      <c r="F7" s="20"/>
      <c r="G7" s="20"/>
      <c r="Z7" s="25"/>
      <c r="AA7" s="15" t="str">
        <f>IFERROR(VLOOKUP(テーブル14[[#This Row],[-]],アクション情報!B:G,3,FALSE),"")</f>
        <v>指定レンジにレンジパス（値１）へ貼り付ける</v>
      </c>
      <c r="AB7" s="16" t="str">
        <f>IFERROR(VLOOKUP(テーブル14[[#This Row],[-]],アクション情報!B:H,4,FALSE),"")</f>
        <v>レンジ</v>
      </c>
      <c r="AC7" s="16" t="str">
        <f>IFERROR(VLOOKUP(テーブル14[[#This Row],[-]],アクション情報!B:I,5,FALSE),"")</f>
        <v>レンジパス</v>
      </c>
      <c r="AD7" s="16" t="str">
        <f>IFERROR(VLOOKUP(テーブル14[[#This Row],[-]],アクション情報!B:J,6,FALSE),"")</f>
        <v>-</v>
      </c>
      <c r="AE7" s="16" t="str">
        <f>IFERROR(VLOOKUP(テーブル14[[#This Row],[-]],アクション情報!B:I,7,FALSE),"")</f>
        <v>-</v>
      </c>
    </row>
    <row r="8" spans="1:31" ht="31.5">
      <c r="A8" s="17">
        <f t="shared" si="0"/>
        <v>7</v>
      </c>
      <c r="B8" s="20" t="s">
        <v>32</v>
      </c>
      <c r="C8" s="19" t="str">
        <f>IFERROR(VLOOKUP(テーブル14[[#This Row],[アクション名]],アクション情報!A:B,2,FALSE),"")</f>
        <v>Excel_SaveBook</v>
      </c>
      <c r="D8" s="20" t="s">
        <v>64</v>
      </c>
      <c r="E8" s="20" t="str">
        <f>メイン!E7&amp;"excel_result"&amp;メイン!E8&amp;".xlsx"</f>
        <v>D:\VBA\output\excel_result_20260403_072048.xlsx</v>
      </c>
      <c r="F8" s="20"/>
      <c r="G8" s="20"/>
      <c r="Z8" s="25"/>
      <c r="AA8" s="15" t="str">
        <f>IFERROR(VLOOKUP(テーブル14[[#This Row],[-]],アクション情報!B:G,3,FALSE),"")</f>
        <v>エクセル（変数）を保存する
指定パス（値１）… なし：上書き保存 / あり：名付けて保存</v>
      </c>
      <c r="AB8" s="16" t="str">
        <f>IFERROR(VLOOKUP(テーブル14[[#This Row],[-]],アクション情報!B:H,4,FALSE),"")</f>
        <v>ブック</v>
      </c>
      <c r="AC8" s="16" t="str">
        <f>IFERROR(VLOOKUP(テーブル14[[#This Row],[-]],アクション情報!B:I,5,FALSE),"")</f>
        <v>（保存パス）</v>
      </c>
      <c r="AD8" s="16" t="str">
        <f>IFERROR(VLOOKUP(テーブル14[[#This Row],[-]],アクション情報!B:J,6,FALSE),"")</f>
        <v>-</v>
      </c>
      <c r="AE8" s="16" t="str">
        <f>IFERROR(VLOOKUP(テーブル14[[#This Row],[-]],アクション情報!B:I,7,FALSE),"")</f>
        <v>-</v>
      </c>
    </row>
    <row r="9" spans="1:31">
      <c r="A9" s="17">
        <f t="shared" si="0"/>
        <v>8</v>
      </c>
      <c r="B9" s="20" t="s">
        <v>31</v>
      </c>
      <c r="C9" s="19" t="str">
        <f>IFERROR(VLOOKUP(テーブル14[[#This Row],[アクション名]],アクション情報!A:B,2,FALSE),"")</f>
        <v>Excel_CloseBook</v>
      </c>
      <c r="D9" s="20" t="s">
        <v>65</v>
      </c>
      <c r="E9" s="20"/>
      <c r="F9" s="20"/>
      <c r="G9" s="20"/>
      <c r="Z9" s="25"/>
      <c r="AA9" s="15" t="str">
        <f>IFERROR(VLOOKUP(テーブル14[[#This Row],[-]],アクション情報!B:G,3,FALSE),"")</f>
        <v>エクセル（変数）を閉じる</v>
      </c>
      <c r="AB9" s="16" t="str">
        <f>IFERROR(VLOOKUP(テーブル14[[#This Row],[-]],アクション情報!B:H,4,FALSE),"")</f>
        <v>ブック</v>
      </c>
      <c r="AC9" s="16" t="str">
        <f>IFERROR(VLOOKUP(テーブル14[[#This Row],[-]],アクション情報!B:I,5,FALSE),"")</f>
        <v>-</v>
      </c>
      <c r="AD9" s="16" t="str">
        <f>IFERROR(VLOOKUP(テーブル14[[#This Row],[-]],アクション情報!B:J,6,FALSE),"")</f>
        <v>-</v>
      </c>
      <c r="AE9" s="16" t="str">
        <f>IFERROR(VLOOKUP(テーブル14[[#This Row],[-]],アクション情報!B:I,7,FALSE),"")</f>
        <v>-</v>
      </c>
    </row>
    <row r="10" spans="1:31">
      <c r="A10" s="21">
        <f t="shared" si="0"/>
        <v>9</v>
      </c>
      <c r="B10" s="22" t="s">
        <v>31</v>
      </c>
      <c r="C10" s="23" t="str">
        <f>IFERROR(VLOOKUP(テーブル14[[#This Row],[アクション名]],アクション情報!A:B,2,FALSE),"")</f>
        <v>Excel_CloseBook</v>
      </c>
      <c r="D10" s="22" t="s">
        <v>64</v>
      </c>
      <c r="E10" s="22"/>
      <c r="F10" s="22"/>
      <c r="G10" s="22"/>
      <c r="Z10" s="25"/>
      <c r="AA10" s="15" t="str">
        <f>IFERROR(VLOOKUP(テーブル14[[#This Row],[-]],アクション情報!B:G,3,FALSE),"")</f>
        <v>エクセル（変数）を閉じる</v>
      </c>
      <c r="AB10" s="16" t="str">
        <f>IFERROR(VLOOKUP(テーブル14[[#This Row],[-]],アクション情報!B:H,4,FALSE),"")</f>
        <v>ブック</v>
      </c>
      <c r="AC10" s="16" t="str">
        <f>IFERROR(VLOOKUP(テーブル14[[#This Row],[-]],アクション情報!B:I,5,FALSE),"")</f>
        <v>-</v>
      </c>
      <c r="AD10" s="16" t="str">
        <f>IFERROR(VLOOKUP(テーブル14[[#This Row],[-]],アクション情報!B:J,6,FALSE),"")</f>
        <v>-</v>
      </c>
      <c r="AE10" s="16" t="str">
        <f>IFERROR(VLOOKUP(テーブル14[[#This Row],[-]],アクション情報!B:I,7,FALSE),"")</f>
        <v>-</v>
      </c>
    </row>
    <row r="11" spans="1:31">
      <c r="A11" s="71">
        <f t="shared" ref="A11:A13" si="1">ROW()-1</f>
        <v>10</v>
      </c>
      <c r="B11" s="33"/>
      <c r="C11" s="34" t="str">
        <f>IFERROR(VLOOKUP(テーブル14[[#This Row],[アクション名]],アクション情報!A:B,2,FALSE),"")</f>
        <v/>
      </c>
      <c r="D11" s="33"/>
      <c r="Z11" s="25"/>
      <c r="AA11" s="15" t="str">
        <f>IFERROR(VLOOKUP(テーブル14[[#This Row],[-]],アクション情報!B:G,3,FALSE),"")</f>
        <v/>
      </c>
      <c r="AB11" s="16" t="str">
        <f>IFERROR(VLOOKUP(テーブル14[[#This Row],[-]],アクション情報!B:H,4,FALSE),"")</f>
        <v/>
      </c>
      <c r="AC11" s="16" t="str">
        <f>IFERROR(VLOOKUP(テーブル14[[#This Row],[-]],アクション情報!B:I,5,FALSE),"")</f>
        <v/>
      </c>
      <c r="AD11" s="16" t="str">
        <f>IFERROR(VLOOKUP(テーブル14[[#This Row],[-]],アクション情報!B:J,6,FALSE),"")</f>
        <v/>
      </c>
      <c r="AE11" s="16" t="str">
        <f>IFERROR(VLOOKUP(テーブル14[[#This Row],[-]],アクション情報!B:I,7,FALSE),"")</f>
        <v/>
      </c>
    </row>
    <row r="12" spans="1:31">
      <c r="A12" s="71">
        <f t="shared" si="1"/>
        <v>11</v>
      </c>
      <c r="B12" s="33"/>
      <c r="C12" s="34" t="str">
        <f>IFERROR(VLOOKUP(テーブル14[[#This Row],[アクション名]],アクション情報!A:B,2,FALSE),"")</f>
        <v/>
      </c>
      <c r="D12" s="33"/>
      <c r="Z12" s="25"/>
      <c r="AA12" s="15" t="str">
        <f>IFERROR(VLOOKUP(テーブル14[[#This Row],[-]],アクション情報!B:G,3,FALSE),"")</f>
        <v/>
      </c>
      <c r="AB12" s="16" t="str">
        <f>IFERROR(VLOOKUP(テーブル14[[#This Row],[-]],アクション情報!B:H,4,FALSE),"")</f>
        <v/>
      </c>
      <c r="AC12" s="16" t="str">
        <f>IFERROR(VLOOKUP(テーブル14[[#This Row],[-]],アクション情報!B:I,5,FALSE),"")</f>
        <v/>
      </c>
      <c r="AD12" s="16" t="str">
        <f>IFERROR(VLOOKUP(テーブル14[[#This Row],[-]],アクション情報!B:J,6,FALSE),"")</f>
        <v/>
      </c>
      <c r="AE12" s="16" t="str">
        <f>IFERROR(VLOOKUP(テーブル14[[#This Row],[-]],アクション情報!B:I,7,FALSE),"")</f>
        <v/>
      </c>
    </row>
    <row r="13" spans="1:31">
      <c r="A13" s="71">
        <f t="shared" si="1"/>
        <v>12</v>
      </c>
      <c r="B13" s="33"/>
      <c r="C13" s="34" t="str">
        <f>IFERROR(VLOOKUP(テーブル14[[#This Row],[アクション名]],アクション情報!A:B,2,FALSE),"")</f>
        <v/>
      </c>
      <c r="D13" s="33"/>
      <c r="Z13" s="25"/>
      <c r="AA13" s="15" t="str">
        <f>IFERROR(VLOOKUP(テーブル14[[#This Row],[-]],アクション情報!B:G,3,FALSE),"")</f>
        <v/>
      </c>
      <c r="AB13" s="16" t="str">
        <f>IFERROR(VLOOKUP(テーブル14[[#This Row],[-]],アクション情報!B:H,4,FALSE),"")</f>
        <v/>
      </c>
      <c r="AC13" s="16" t="str">
        <f>IFERROR(VLOOKUP(テーブル14[[#This Row],[-]],アクション情報!B:I,5,FALSE),"")</f>
        <v/>
      </c>
      <c r="AD13" s="16" t="str">
        <f>IFERROR(VLOOKUP(テーブル14[[#This Row],[-]],アクション情報!B:J,6,FALSE),"")</f>
        <v/>
      </c>
      <c r="AE13" s="16" t="str">
        <f>IFERROR(VLOOKUP(テーブル14[[#This Row],[-]],アクション情報!B:I,7,FALSE),"")</f>
        <v/>
      </c>
    </row>
    <row r="14" spans="1:31">
      <c r="A14" s="71">
        <f t="shared" ref="A14:A15" si="2">ROW()-1</f>
        <v>13</v>
      </c>
      <c r="B14" s="33"/>
      <c r="C14" s="34" t="str">
        <f>IFERROR(VLOOKUP(テーブル14[[#This Row],[アクション名]],アクション情報!A:B,2,FALSE),"")</f>
        <v/>
      </c>
      <c r="D14" s="33"/>
      <c r="Z14" s="25"/>
      <c r="AA14" s="15" t="str">
        <f>IFERROR(VLOOKUP(テーブル14[[#This Row],[-]],アクション情報!B:G,3,FALSE),"")</f>
        <v/>
      </c>
      <c r="AB14" s="16" t="str">
        <f>IFERROR(VLOOKUP(テーブル14[[#This Row],[-]],アクション情報!B:H,4,FALSE),"")</f>
        <v/>
      </c>
      <c r="AC14" s="16" t="str">
        <f>IFERROR(VLOOKUP(テーブル14[[#This Row],[-]],アクション情報!B:I,5,FALSE),"")</f>
        <v/>
      </c>
      <c r="AD14" s="16" t="str">
        <f>IFERROR(VLOOKUP(テーブル14[[#This Row],[-]],アクション情報!B:J,6,FALSE),"")</f>
        <v/>
      </c>
      <c r="AE14" s="16" t="str">
        <f>IFERROR(VLOOKUP(テーブル14[[#This Row],[-]],アクション情報!B:I,7,FALSE),"")</f>
        <v/>
      </c>
    </row>
    <row r="15" spans="1:31">
      <c r="A15" s="71">
        <f t="shared" si="2"/>
        <v>14</v>
      </c>
      <c r="B15" s="33"/>
      <c r="C15" s="34" t="str">
        <f>IFERROR(VLOOKUP(テーブル14[[#This Row],[アクション名]],アクション情報!A:B,2,FALSE),"")</f>
        <v/>
      </c>
      <c r="D15" s="33"/>
      <c r="Z15" s="25"/>
      <c r="AA15" s="15" t="str">
        <f>IFERROR(VLOOKUP(テーブル14[[#This Row],[-]],アクション情報!B:G,3,FALSE),"")</f>
        <v/>
      </c>
      <c r="AB15" s="16" t="str">
        <f>IFERROR(VLOOKUP(テーブル14[[#This Row],[-]],アクション情報!B:H,4,FALSE),"")</f>
        <v/>
      </c>
      <c r="AC15" s="16" t="str">
        <f>IFERROR(VLOOKUP(テーブル14[[#This Row],[-]],アクション情報!B:I,5,FALSE),"")</f>
        <v/>
      </c>
      <c r="AD15" s="16" t="str">
        <f>IFERROR(VLOOKUP(テーブル14[[#This Row],[-]],アクション情報!B:J,6,FALSE),"")</f>
        <v/>
      </c>
      <c r="AE15" s="16" t="str">
        <f>IFERROR(VLOOKUP(テーブル14[[#This Row],[-]],アクション情報!B:I,7,FALSE),"")</f>
        <v/>
      </c>
    </row>
    <row r="16" spans="1:31">
      <c r="A16" s="71">
        <f t="shared" ref="A16:A21" si="3">ROW()-1</f>
        <v>15</v>
      </c>
      <c r="B16" s="33"/>
      <c r="C16" s="34" t="str">
        <f>IFERROR(VLOOKUP(テーブル14[[#This Row],[アクション名]],アクション情報!A:B,2,FALSE),"")</f>
        <v/>
      </c>
      <c r="D16" s="33"/>
      <c r="Z16" s="25"/>
      <c r="AA16" s="15" t="str">
        <f>IFERROR(VLOOKUP(テーブル14[[#This Row],[-]],アクション情報!B:G,3,FALSE),"")</f>
        <v/>
      </c>
      <c r="AB16" s="16" t="str">
        <f>IFERROR(VLOOKUP(テーブル14[[#This Row],[-]],アクション情報!B:H,4,FALSE),"")</f>
        <v/>
      </c>
      <c r="AC16" s="16" t="str">
        <f>IFERROR(VLOOKUP(テーブル14[[#This Row],[-]],アクション情報!B:I,5,FALSE),"")</f>
        <v/>
      </c>
      <c r="AD16" s="16" t="str">
        <f>IFERROR(VLOOKUP(テーブル14[[#This Row],[-]],アクション情報!B:J,6,FALSE),"")</f>
        <v/>
      </c>
      <c r="AE16" s="16" t="str">
        <f>IFERROR(VLOOKUP(テーブル14[[#This Row],[-]],アクション情報!B:I,7,FALSE),"")</f>
        <v/>
      </c>
    </row>
    <row r="17" spans="1:31">
      <c r="A17" s="71">
        <f t="shared" si="3"/>
        <v>16</v>
      </c>
      <c r="B17" s="33"/>
      <c r="C17" s="34" t="str">
        <f>IFERROR(VLOOKUP(テーブル14[[#This Row],[アクション名]],アクション情報!A:B,2,FALSE),"")</f>
        <v/>
      </c>
      <c r="D17" s="33"/>
      <c r="Z17" s="25"/>
      <c r="AA17" s="15" t="str">
        <f>IFERROR(VLOOKUP(テーブル14[[#This Row],[-]],アクション情報!B:G,3,FALSE),"")</f>
        <v/>
      </c>
      <c r="AB17" s="16" t="str">
        <f>IFERROR(VLOOKUP(テーブル14[[#This Row],[-]],アクション情報!B:H,4,FALSE),"")</f>
        <v/>
      </c>
      <c r="AC17" s="16" t="str">
        <f>IFERROR(VLOOKUP(テーブル14[[#This Row],[-]],アクション情報!B:I,5,FALSE),"")</f>
        <v/>
      </c>
      <c r="AD17" s="16" t="str">
        <f>IFERROR(VLOOKUP(テーブル14[[#This Row],[-]],アクション情報!B:J,6,FALSE),"")</f>
        <v/>
      </c>
      <c r="AE17" s="16" t="str">
        <f>IFERROR(VLOOKUP(テーブル14[[#This Row],[-]],アクション情報!B:I,7,FALSE),"")</f>
        <v/>
      </c>
    </row>
    <row r="18" spans="1:31">
      <c r="A18" s="71">
        <f t="shared" si="3"/>
        <v>17</v>
      </c>
      <c r="B18" s="33"/>
      <c r="C18" s="34" t="str">
        <f>IFERROR(VLOOKUP(テーブル14[[#This Row],[アクション名]],アクション情報!A:B,2,FALSE),"")</f>
        <v/>
      </c>
      <c r="D18" s="33"/>
      <c r="Z18" s="25"/>
      <c r="AA18" s="15" t="str">
        <f>IFERROR(VLOOKUP(テーブル14[[#This Row],[-]],アクション情報!B:G,3,FALSE),"")</f>
        <v/>
      </c>
      <c r="AB18" s="16" t="str">
        <f>IFERROR(VLOOKUP(テーブル14[[#This Row],[-]],アクション情報!B:H,4,FALSE),"")</f>
        <v/>
      </c>
      <c r="AC18" s="16" t="str">
        <f>IFERROR(VLOOKUP(テーブル14[[#This Row],[-]],アクション情報!B:I,5,FALSE),"")</f>
        <v/>
      </c>
      <c r="AD18" s="16" t="str">
        <f>IFERROR(VLOOKUP(テーブル14[[#This Row],[-]],アクション情報!B:J,6,FALSE),"")</f>
        <v/>
      </c>
      <c r="AE18" s="16" t="str">
        <f>IFERROR(VLOOKUP(テーブル14[[#This Row],[-]],アクション情報!B:I,7,FALSE),"")</f>
        <v/>
      </c>
    </row>
    <row r="19" spans="1:31">
      <c r="A19" s="71">
        <f t="shared" si="3"/>
        <v>18</v>
      </c>
      <c r="B19" s="33"/>
      <c r="C19" s="34" t="str">
        <f>IFERROR(VLOOKUP(テーブル14[[#This Row],[アクション名]],アクション情報!A:B,2,FALSE),"")</f>
        <v/>
      </c>
      <c r="D19" s="33"/>
      <c r="Z19" s="25"/>
      <c r="AA19" s="15" t="str">
        <f>IFERROR(VLOOKUP(テーブル14[[#This Row],[-]],アクション情報!B:G,3,FALSE),"")</f>
        <v/>
      </c>
      <c r="AB19" s="16" t="str">
        <f>IFERROR(VLOOKUP(テーブル14[[#This Row],[-]],アクション情報!B:H,4,FALSE),"")</f>
        <v/>
      </c>
      <c r="AC19" s="16" t="str">
        <f>IFERROR(VLOOKUP(テーブル14[[#This Row],[-]],アクション情報!B:I,5,FALSE),"")</f>
        <v/>
      </c>
      <c r="AD19" s="16" t="str">
        <f>IFERROR(VLOOKUP(テーブル14[[#This Row],[-]],アクション情報!B:J,6,FALSE),"")</f>
        <v/>
      </c>
      <c r="AE19" s="16" t="str">
        <f>IFERROR(VLOOKUP(テーブル14[[#This Row],[-]],アクション情報!B:I,7,FALSE),"")</f>
        <v/>
      </c>
    </row>
    <row r="20" spans="1:31">
      <c r="A20" s="71">
        <f t="shared" si="3"/>
        <v>19</v>
      </c>
      <c r="B20" s="33"/>
      <c r="C20" s="34" t="str">
        <f>IFERROR(VLOOKUP(テーブル14[[#This Row],[アクション名]],アクション情報!A:B,2,FALSE),"")</f>
        <v/>
      </c>
      <c r="D20" s="33"/>
      <c r="Z20" s="25"/>
      <c r="AA20" s="15" t="str">
        <f>IFERROR(VLOOKUP(テーブル14[[#This Row],[-]],アクション情報!B:G,3,FALSE),"")</f>
        <v/>
      </c>
      <c r="AB20" s="16" t="str">
        <f>IFERROR(VLOOKUP(テーブル14[[#This Row],[-]],アクション情報!B:H,4,FALSE),"")</f>
        <v/>
      </c>
      <c r="AC20" s="16" t="str">
        <f>IFERROR(VLOOKUP(テーブル14[[#This Row],[-]],アクション情報!B:I,5,FALSE),"")</f>
        <v/>
      </c>
      <c r="AD20" s="16" t="str">
        <f>IFERROR(VLOOKUP(テーブル14[[#This Row],[-]],アクション情報!B:J,6,FALSE),"")</f>
        <v/>
      </c>
      <c r="AE20" s="16" t="str">
        <f>IFERROR(VLOOKUP(テーブル14[[#This Row],[-]],アクション情報!B:I,7,FALSE),"")</f>
        <v/>
      </c>
    </row>
    <row r="21" spans="1:31">
      <c r="A21" s="71">
        <f t="shared" si="3"/>
        <v>20</v>
      </c>
      <c r="B21" s="33"/>
      <c r="C21" s="34" t="str">
        <f>IFERROR(VLOOKUP(テーブル14[[#This Row],[アクション名]],アクション情報!A:B,2,FALSE),"")</f>
        <v/>
      </c>
      <c r="D21" s="33"/>
      <c r="Z21" s="25"/>
      <c r="AA21" s="15" t="str">
        <f>IFERROR(VLOOKUP(テーブル14[[#This Row],[-]],アクション情報!B:G,3,FALSE),"")</f>
        <v/>
      </c>
      <c r="AB21" s="16" t="str">
        <f>IFERROR(VLOOKUP(テーブル14[[#This Row],[-]],アクション情報!B:H,4,FALSE),"")</f>
        <v/>
      </c>
      <c r="AC21" s="16" t="str">
        <f>IFERROR(VLOOKUP(テーブル14[[#This Row],[-]],アクション情報!B:I,5,FALSE),"")</f>
        <v/>
      </c>
      <c r="AD21" s="16" t="str">
        <f>IFERROR(VLOOKUP(テーブル14[[#This Row],[-]],アクション情報!B:J,6,FALSE),"")</f>
        <v/>
      </c>
      <c r="AE21" s="16" t="str">
        <f>IFERROR(VLOOKUP(テーブル14[[#This Row],[-]],アクション情報!B:I,7,FALSE),"")</f>
        <v/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アクション情報!$A$5:$A$109</xm:f>
          </x14:formula1>
          <xm:sqref>B2:B21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1:AE8"/>
  <sheetViews>
    <sheetView workbookViewId="0">
      <pane ySplit="1" topLeftCell="A2" activePane="bottomLeft" state="frozen"/>
      <selection pane="bottomLeft" activeCell="E19" sqref="E19"/>
    </sheetView>
  </sheetViews>
  <sheetFormatPr defaultRowHeight="15.75"/>
  <cols>
    <col min="1" max="1" width="3.25" style="35" bestFit="1" customWidth="1"/>
    <col min="2" max="2" width="24.75" style="32" customWidth="1"/>
    <col min="3" max="3" width="13.25" style="34" customWidth="1"/>
    <col min="4" max="4" width="9.625" style="32" customWidth="1"/>
    <col min="5" max="5" width="26.125" style="33" bestFit="1" customWidth="1"/>
    <col min="6" max="6" width="18.5" style="33" customWidth="1"/>
    <col min="7" max="7" width="9.625" style="33" hidden="1" customWidth="1"/>
    <col min="8" max="25" width="1.625" style="3" hidden="1" customWidth="1"/>
    <col min="26" max="26" width="4.625" style="3" customWidth="1"/>
    <col min="27" max="27" width="47.875" style="10" customWidth="1"/>
    <col min="28" max="30" width="9.625" style="9" customWidth="1"/>
    <col min="31" max="31" width="9.625" style="9" hidden="1" customWidth="1"/>
    <col min="32" max="16384" width="9" style="3"/>
  </cols>
  <sheetData>
    <row r="1" spans="1:31">
      <c r="A1" s="28" t="s">
        <v>15</v>
      </c>
      <c r="B1" s="32" t="s">
        <v>27</v>
      </c>
      <c r="C1" s="74" t="s">
        <v>25</v>
      </c>
      <c r="D1" s="33" t="s">
        <v>16</v>
      </c>
      <c r="E1" s="33" t="s">
        <v>17</v>
      </c>
      <c r="F1" s="33" t="s">
        <v>18</v>
      </c>
      <c r="G1" s="33" t="s">
        <v>19</v>
      </c>
      <c r="H1" s="3" t="s">
        <v>72</v>
      </c>
      <c r="I1" s="3" t="s">
        <v>73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87</v>
      </c>
      <c r="X1" s="3" t="s">
        <v>88</v>
      </c>
      <c r="Y1" s="3" t="s">
        <v>89</v>
      </c>
      <c r="Z1" s="24" t="s">
        <v>90</v>
      </c>
      <c r="AA1" s="12" t="s">
        <v>20</v>
      </c>
      <c r="AB1" s="13" t="s">
        <v>108</v>
      </c>
      <c r="AC1" s="14" t="s">
        <v>91</v>
      </c>
      <c r="AD1" s="13" t="s">
        <v>92</v>
      </c>
      <c r="AE1" s="13" t="s">
        <v>93</v>
      </c>
    </row>
    <row r="2" spans="1:31" ht="18.75">
      <c r="A2" s="17">
        <v>1</v>
      </c>
      <c r="B2" s="18" t="s">
        <v>135</v>
      </c>
      <c r="C2" s="19" t="str">
        <f>IFERROR(VLOOKUP(テーブル1465[[#This Row],[アクション名]],アクション情報!A:B,2,FALSE),"")</f>
        <v>Access_OpenConnection</v>
      </c>
      <c r="D2" s="20" t="s">
        <v>109</v>
      </c>
      <c r="E2" s="51" t="str">
        <f>メイン!E6&amp;"data.accdb"</f>
        <v>D:\VBA\input\data.accdb</v>
      </c>
      <c r="F2" s="20"/>
      <c r="G2" s="20"/>
      <c r="Z2" s="25"/>
      <c r="AA2" s="15" t="s">
        <v>110</v>
      </c>
      <c r="AB2" s="16" t="s">
        <v>111</v>
      </c>
      <c r="AC2" s="16" t="s">
        <v>112</v>
      </c>
      <c r="AD2" s="16" t="s">
        <v>24</v>
      </c>
      <c r="AE2" s="16" t="s">
        <v>24</v>
      </c>
    </row>
    <row r="3" spans="1:31" ht="31.5">
      <c r="A3" s="17">
        <v>2</v>
      </c>
      <c r="B3" s="18" t="s">
        <v>141</v>
      </c>
      <c r="C3" s="19" t="str">
        <f>IFERROR(VLOOKUP(テーブル1465[[#This Row],[アクション名]],アクション情報!A:B,2,FALSE),"")</f>
        <v>Access_GetRecordset</v>
      </c>
      <c r="D3" s="20" t="s">
        <v>113</v>
      </c>
      <c r="E3" s="20" t="s">
        <v>109</v>
      </c>
      <c r="F3" s="20" t="s">
        <v>106</v>
      </c>
      <c r="G3" s="20"/>
      <c r="Z3" s="25"/>
      <c r="AA3" s="15" t="s">
        <v>114</v>
      </c>
      <c r="AB3" s="16" t="s">
        <v>115</v>
      </c>
      <c r="AC3" s="16" t="s">
        <v>111</v>
      </c>
      <c r="AD3" s="16" t="s">
        <v>116</v>
      </c>
      <c r="AE3" s="16" t="s">
        <v>24</v>
      </c>
    </row>
    <row r="4" spans="1:31" ht="25.5">
      <c r="A4" s="17">
        <v>3</v>
      </c>
      <c r="B4" s="18" t="s">
        <v>69</v>
      </c>
      <c r="C4" s="19" t="str">
        <f>IFERROR(VLOOKUP(テーブル1465[[#This Row],[アクション名]],アクション情報!A:B,2,FALSE),"")</f>
        <v>Excel_NewBook</v>
      </c>
      <c r="D4" s="20" t="s">
        <v>107</v>
      </c>
      <c r="E4" s="20" t="b">
        <v>0</v>
      </c>
      <c r="F4" s="20"/>
      <c r="G4" s="20"/>
      <c r="Z4" s="25"/>
      <c r="AA4" s="15" t="s">
        <v>117</v>
      </c>
      <c r="AB4" s="16" t="s">
        <v>118</v>
      </c>
      <c r="AC4" s="16" t="s">
        <v>119</v>
      </c>
      <c r="AD4" s="16" t="s">
        <v>24</v>
      </c>
      <c r="AE4" s="16" t="s">
        <v>24</v>
      </c>
    </row>
    <row r="5" spans="1:31">
      <c r="A5" s="17">
        <v>4</v>
      </c>
      <c r="B5" s="18" t="s">
        <v>120</v>
      </c>
      <c r="C5" s="19" t="str">
        <f>IFERROR(VLOOKUP(テーブル1465[[#This Row],[アクション名]],アクション情報!A:B,2,FALSE),"")</f>
        <v>Access_PasteRange</v>
      </c>
      <c r="D5" s="20" t="s">
        <v>113</v>
      </c>
      <c r="E5" s="20" t="s">
        <v>138</v>
      </c>
      <c r="F5" s="20"/>
      <c r="G5" s="20"/>
      <c r="Z5" s="25"/>
      <c r="AA5" s="15" t="s">
        <v>121</v>
      </c>
      <c r="AB5" s="16" t="s">
        <v>115</v>
      </c>
      <c r="AC5" s="16" t="s">
        <v>122</v>
      </c>
      <c r="AD5" s="16" t="s">
        <v>24</v>
      </c>
      <c r="AE5" s="16" t="s">
        <v>24</v>
      </c>
    </row>
    <row r="6" spans="1:31" ht="31.5">
      <c r="A6" s="17">
        <v>5</v>
      </c>
      <c r="B6" s="20" t="s">
        <v>103</v>
      </c>
      <c r="C6" s="19" t="str">
        <f>IFERROR(VLOOKUP(テーブル1465[[#This Row],[アクション名]],アクション情報!A:B,2,FALSE),"")</f>
        <v>Access_SaveAsXlsx</v>
      </c>
      <c r="D6" s="20" t="s">
        <v>113</v>
      </c>
      <c r="E6" s="20" t="str">
        <f ca="1">メイン!E7&amp;"access_result"&amp;TEXT(NOW(), "yyyymmdd_hhmmss")&amp;".xlsx"</f>
        <v>D:\VBA\output\access_result20260403 72049.xlsx</v>
      </c>
      <c r="F6" s="20"/>
      <c r="G6" s="20"/>
      <c r="Z6" s="25"/>
      <c r="AA6" s="15" t="s">
        <v>123</v>
      </c>
      <c r="AB6" s="16" t="s">
        <v>115</v>
      </c>
      <c r="AC6" s="16" t="s">
        <v>124</v>
      </c>
      <c r="AD6" s="16" t="s">
        <v>24</v>
      </c>
      <c r="AE6" s="16" t="s">
        <v>24</v>
      </c>
    </row>
    <row r="7" spans="1:31" ht="17.25">
      <c r="A7" s="52">
        <v>6</v>
      </c>
      <c r="B7" s="18" t="s">
        <v>125</v>
      </c>
      <c r="C7" s="19" t="str">
        <f>IFERROR(VLOOKUP(テーブル1465[[#This Row],[アクション名]],アクション情報!A:B,2,FALSE),"")</f>
        <v>Access_CloseRecordset</v>
      </c>
      <c r="D7" s="18" t="s">
        <v>113</v>
      </c>
      <c r="E7" s="20"/>
      <c r="F7" s="20"/>
      <c r="G7" s="20"/>
      <c r="Z7" s="25"/>
      <c r="AA7" s="15" t="s">
        <v>126</v>
      </c>
      <c r="AB7" s="16" t="s">
        <v>115</v>
      </c>
      <c r="AC7" s="16" t="s">
        <v>24</v>
      </c>
      <c r="AD7" s="16" t="s">
        <v>24</v>
      </c>
      <c r="AE7" s="16" t="s">
        <v>24</v>
      </c>
    </row>
    <row r="8" spans="1:31" ht="17.25">
      <c r="A8" s="53">
        <v>7</v>
      </c>
      <c r="B8" s="27" t="s">
        <v>127</v>
      </c>
      <c r="C8" s="23" t="str">
        <f>IFERROR(VLOOKUP(テーブル1465[[#This Row],[アクション名]],アクション情報!A:B,2,FALSE),"")</f>
        <v>Access_CloseConnection</v>
      </c>
      <c r="D8" s="27" t="s">
        <v>109</v>
      </c>
      <c r="E8" s="22"/>
      <c r="F8" s="22"/>
      <c r="G8" s="22"/>
      <c r="Z8" s="50"/>
      <c r="AA8" s="15" t="s">
        <v>129</v>
      </c>
      <c r="AB8" s="16" t="s">
        <v>111</v>
      </c>
      <c r="AC8" s="16" t="s">
        <v>24</v>
      </c>
      <c r="AD8" s="16" t="s">
        <v>24</v>
      </c>
      <c r="AE8" s="16" t="s">
        <v>24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アクション情報!$A$5:$A$109</xm:f>
          </x14:formula1>
          <xm:sqref>B2:B8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E4"/>
  <sheetViews>
    <sheetView workbookViewId="0">
      <pane ySplit="1" topLeftCell="A2" activePane="bottomLeft" state="frozen"/>
      <selection pane="bottomLeft" activeCell="E31" sqref="E31"/>
    </sheetView>
  </sheetViews>
  <sheetFormatPr defaultRowHeight="15.75"/>
  <cols>
    <col min="1" max="1" width="3.25" style="35" bestFit="1" customWidth="1"/>
    <col min="2" max="2" width="24.75" style="32" customWidth="1"/>
    <col min="3" max="3" width="13.25" style="34" customWidth="1"/>
    <col min="4" max="4" width="9.625" style="32" customWidth="1"/>
    <col min="5" max="5" width="26.125" style="33" bestFit="1" customWidth="1"/>
    <col min="6" max="6" width="18.5" style="33" customWidth="1"/>
    <col min="7" max="7" width="9.625" style="33" hidden="1" customWidth="1"/>
    <col min="8" max="25" width="1.625" style="3" hidden="1" customWidth="1"/>
    <col min="26" max="26" width="4.625" style="3" customWidth="1"/>
    <col min="27" max="27" width="47.875" style="10" customWidth="1"/>
    <col min="28" max="30" width="9.625" style="9" customWidth="1"/>
    <col min="31" max="31" width="9.625" style="9" hidden="1" customWidth="1"/>
    <col min="32" max="16384" width="9" style="3"/>
  </cols>
  <sheetData>
    <row r="1" spans="1:31">
      <c r="A1" s="28" t="s">
        <v>15</v>
      </c>
      <c r="B1" s="32" t="s">
        <v>27</v>
      </c>
      <c r="C1" s="74" t="s">
        <v>25</v>
      </c>
      <c r="D1" s="33" t="s">
        <v>16</v>
      </c>
      <c r="E1" s="33" t="s">
        <v>17</v>
      </c>
      <c r="F1" s="33" t="s">
        <v>18</v>
      </c>
      <c r="G1" s="33" t="s">
        <v>19</v>
      </c>
      <c r="H1" s="3" t="s">
        <v>72</v>
      </c>
      <c r="I1" s="3" t="s">
        <v>73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87</v>
      </c>
      <c r="X1" s="3" t="s">
        <v>88</v>
      </c>
      <c r="Y1" s="3" t="s">
        <v>89</v>
      </c>
      <c r="Z1" s="24" t="s">
        <v>90</v>
      </c>
      <c r="AA1" s="12" t="s">
        <v>20</v>
      </c>
      <c r="AB1" s="13" t="s">
        <v>108</v>
      </c>
      <c r="AC1" s="14" t="s">
        <v>91</v>
      </c>
      <c r="AD1" s="13" t="s">
        <v>92</v>
      </c>
      <c r="AE1" s="13" t="s">
        <v>93</v>
      </c>
    </row>
    <row r="2" spans="1:31" ht="18.75">
      <c r="A2" s="71">
        <v>1</v>
      </c>
      <c r="B2" s="32" t="s">
        <v>105</v>
      </c>
      <c r="C2" s="34" t="str">
        <f>IFERROR(VLOOKUP(テーブル14657[[#This Row],[アクション名]],アクション情報!A:B,2,FALSE),"")</f>
        <v/>
      </c>
      <c r="D2" s="33" t="s">
        <v>144</v>
      </c>
      <c r="E2" s="72" t="str">
        <f>メイン!E6</f>
        <v>D:\VBA\input\</v>
      </c>
      <c r="G2" s="20"/>
      <c r="Z2" s="25"/>
      <c r="AA2" s="15" t="str">
        <f>IFERROR(VLOOKUP(テーブル14657[[#This Row],[-]],アクション情報!B:G,3,FALSE),"")</f>
        <v/>
      </c>
      <c r="AB2" s="16" t="str">
        <f>IFERROR(VLOOKUP(テーブル14657[[#This Row],[-]],アクション情報!B:H,4,FALSE),"")</f>
        <v/>
      </c>
      <c r="AC2" s="16" t="str">
        <f>IFERROR(VLOOKUP(テーブル14657[[#This Row],[-]],アクション情報!B:I,5,FALSE),"")</f>
        <v/>
      </c>
      <c r="AD2" s="16" t="str">
        <f>IFERROR(VLOOKUP(テーブル14657[[#This Row],[-]],アクション情報!B:J,6,FALSE),"")</f>
        <v/>
      </c>
      <c r="AE2" s="16" t="s">
        <v>24</v>
      </c>
    </row>
    <row r="3" spans="1:31" ht="31.5">
      <c r="A3" s="71">
        <v>2</v>
      </c>
      <c r="B3" s="32" t="s">
        <v>96</v>
      </c>
      <c r="C3" s="34" t="str">
        <f>IFERROR(VLOOKUP(テーブル14657[[#This Row],[アクション名]],アクション情報!A:B,2,FALSE),"")</f>
        <v/>
      </c>
      <c r="D3" s="33" t="s">
        <v>144</v>
      </c>
      <c r="E3" s="72"/>
      <c r="Z3" s="25"/>
      <c r="AA3" s="15" t="str">
        <f>IFERROR(VLOOKUP(テーブル14657[[#This Row],[-]],アクション情報!B:G,3,FALSE),"")</f>
        <v/>
      </c>
      <c r="AB3" s="16" t="str">
        <f>IFERROR(VLOOKUP(テーブル14657[[#This Row],[-]],アクション情報!B:H,4,FALSE),"")</f>
        <v/>
      </c>
      <c r="AC3" s="16" t="str">
        <f>IFERROR(VLOOKUP(テーブル14657[[#This Row],[-]],アクション情報!B:I,5,FALSE),"")</f>
        <v/>
      </c>
      <c r="AD3" s="16" t="str">
        <f>IFERROR(VLOOKUP(テーブル14657[[#This Row],[-]],アクション情報!B:J,6,FALSE),"")</f>
        <v/>
      </c>
      <c r="AE3" s="16"/>
    </row>
    <row r="4" spans="1:31" ht="18.75">
      <c r="A4" s="71"/>
      <c r="D4" s="33"/>
      <c r="E4" s="72"/>
      <c r="G4" s="22"/>
      <c r="Z4" s="25"/>
      <c r="AA4" s="15" t="str">
        <f>IFERROR(VLOOKUP(テーブル14657[[#This Row],[-]],アクション情報!B:G,3,FALSE),"")</f>
        <v/>
      </c>
      <c r="AB4" s="16" t="str">
        <f>IFERROR(VLOOKUP(テーブル14657[[#This Row],[-]],アクション情報!B:H,4,FALSE),"")</f>
        <v/>
      </c>
      <c r="AC4" s="16" t="str">
        <f>IFERROR(VLOOKUP(テーブル14657[[#This Row],[-]],アクション情報!B:I,5,FALSE),"")</f>
        <v/>
      </c>
      <c r="AD4" s="16" t="str">
        <f>IFERROR(VLOOKUP(テーブル14657[[#This Row],[-]],アクション情報!B:J,6,FALSE),"")</f>
        <v/>
      </c>
      <c r="AE4" s="1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2FDF2-7BEE-4CC9-89A4-EB9F833EAAA8}">
          <x14:formula1>
            <xm:f>アクション情報!$A$1:$A$109</xm:f>
          </x14:formula1>
          <xm:sqref>B2:B4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30_Log"/>
  <dimension ref="A1:C87"/>
  <sheetViews>
    <sheetView workbookViewId="0">
      <pane ySplit="1" topLeftCell="A2" activePane="bottomLeft" state="frozen"/>
      <selection pane="bottomLeft" activeCell="C11" sqref="C11"/>
    </sheetView>
  </sheetViews>
  <sheetFormatPr defaultRowHeight="15.75"/>
  <cols>
    <col min="1" max="1" width="14.125" style="4" customWidth="1"/>
    <col min="2" max="2" width="6.875" style="4" customWidth="1"/>
    <col min="3" max="3" width="68.125" style="8" customWidth="1"/>
    <col min="4" max="16384" width="9" style="2"/>
  </cols>
  <sheetData>
    <row r="1" spans="1:3" s="7" customFormat="1">
      <c r="A1" s="5" t="s">
        <v>23</v>
      </c>
      <c r="B1" s="5" t="s">
        <v>21</v>
      </c>
      <c r="C1" s="6" t="s">
        <v>22</v>
      </c>
    </row>
    <row r="2" spans="1:3" ht="47.25">
      <c r="A2" s="11">
        <v>46115.234201388892</v>
      </c>
      <c r="B2" s="4" t="s">
        <v>6</v>
      </c>
      <c r="C2" s="8" t="s">
        <v>220</v>
      </c>
    </row>
    <row r="3" spans="1:3">
      <c r="A3" s="11">
        <v>46115.234201388892</v>
      </c>
      <c r="B3" s="4" t="s">
        <v>5</v>
      </c>
      <c r="C3" s="8" t="s">
        <v>221</v>
      </c>
    </row>
    <row r="4" spans="1:3">
      <c r="A4" s="11">
        <v>46115.234201388892</v>
      </c>
      <c r="B4" s="4" t="s">
        <v>6</v>
      </c>
      <c r="C4" s="8" t="s">
        <v>222</v>
      </c>
    </row>
    <row r="5" spans="1:3">
      <c r="A5" s="11">
        <v>46115.234201388892</v>
      </c>
      <c r="B5" s="4" t="s">
        <v>6</v>
      </c>
      <c r="C5" s="8" t="s">
        <v>7</v>
      </c>
    </row>
    <row r="6" spans="1:3" ht="31.5">
      <c r="A6" s="11">
        <v>46115.238865740743</v>
      </c>
      <c r="B6" s="4" t="s">
        <v>6</v>
      </c>
      <c r="C6" s="8" t="s">
        <v>223</v>
      </c>
    </row>
    <row r="7" spans="1:3">
      <c r="A7" s="11">
        <v>46115.238865740743</v>
      </c>
      <c r="B7" s="4" t="s">
        <v>5</v>
      </c>
      <c r="C7" s="8" t="s">
        <v>221</v>
      </c>
    </row>
    <row r="8" spans="1:3">
      <c r="A8" s="11">
        <v>46115.238865740743</v>
      </c>
      <c r="B8" s="4" t="s">
        <v>6</v>
      </c>
      <c r="C8" s="8" t="s">
        <v>222</v>
      </c>
    </row>
    <row r="9" spans="1:3">
      <c r="A9" s="11">
        <v>46115.238865740743</v>
      </c>
      <c r="B9" s="4" t="s">
        <v>6</v>
      </c>
      <c r="C9" s="8" t="s">
        <v>7</v>
      </c>
    </row>
    <row r="10" spans="1:3" ht="31.5">
      <c r="A10" s="11">
        <v>46115.239965277775</v>
      </c>
      <c r="B10" s="4" t="s">
        <v>6</v>
      </c>
      <c r="C10" s="8" t="s">
        <v>223</v>
      </c>
    </row>
    <row r="11" spans="1:3">
      <c r="A11" s="11">
        <v>46115.239988425928</v>
      </c>
      <c r="B11" s="4" t="s">
        <v>5</v>
      </c>
      <c r="C11" s="8" t="s">
        <v>221</v>
      </c>
    </row>
    <row r="12" spans="1:3">
      <c r="A12" s="11">
        <v>46115.239988425928</v>
      </c>
      <c r="B12" s="4" t="s">
        <v>6</v>
      </c>
      <c r="C12" s="8" t="s">
        <v>222</v>
      </c>
    </row>
    <row r="13" spans="1:3">
      <c r="A13" s="11">
        <v>46115.239988425928</v>
      </c>
      <c r="B13" s="4" t="s">
        <v>6</v>
      </c>
      <c r="C13" s="8" t="s">
        <v>7</v>
      </c>
    </row>
    <row r="14" spans="1:3" ht="31.5">
      <c r="A14" s="11">
        <v>46115.241226851853</v>
      </c>
      <c r="B14" s="4" t="s">
        <v>6</v>
      </c>
      <c r="C14" s="8" t="s">
        <v>223</v>
      </c>
    </row>
    <row r="15" spans="1:3">
      <c r="A15" s="11">
        <v>46115.241226851853</v>
      </c>
      <c r="B15" s="4" t="s">
        <v>5</v>
      </c>
      <c r="C15" s="8" t="s">
        <v>221</v>
      </c>
    </row>
    <row r="16" spans="1:3">
      <c r="A16" s="11">
        <v>46115.241226851853</v>
      </c>
      <c r="B16" s="4" t="s">
        <v>6</v>
      </c>
      <c r="C16" s="8" t="s">
        <v>222</v>
      </c>
    </row>
    <row r="17" spans="1:3">
      <c r="A17" s="11">
        <v>46115.241226851853</v>
      </c>
      <c r="B17" s="4" t="s">
        <v>6</v>
      </c>
      <c r="C17" s="8" t="s">
        <v>7</v>
      </c>
    </row>
    <row r="18" spans="1:3" ht="31.5">
      <c r="A18" s="11">
        <v>46115.242002314815</v>
      </c>
      <c r="B18" s="4" t="s">
        <v>6</v>
      </c>
      <c r="C18" s="8" t="s">
        <v>223</v>
      </c>
    </row>
    <row r="19" spans="1:3">
      <c r="A19" s="11">
        <v>46115.242002314815</v>
      </c>
      <c r="B19" s="4" t="s">
        <v>5</v>
      </c>
      <c r="C19" s="8" t="s">
        <v>221</v>
      </c>
    </row>
    <row r="20" spans="1:3">
      <c r="A20" s="11">
        <v>46115.242002314815</v>
      </c>
      <c r="B20" s="4" t="s">
        <v>6</v>
      </c>
      <c r="C20" s="8" t="s">
        <v>222</v>
      </c>
    </row>
    <row r="21" spans="1:3">
      <c r="A21" s="11">
        <v>46115.242002314815</v>
      </c>
      <c r="B21" s="4" t="s">
        <v>6</v>
      </c>
      <c r="C21" s="8" t="s">
        <v>7</v>
      </c>
    </row>
    <row r="22" spans="1:3">
      <c r="A22" s="11">
        <v>46115.24726851852</v>
      </c>
      <c r="B22" s="4" t="s">
        <v>5</v>
      </c>
      <c r="C22" s="8" t="s">
        <v>45</v>
      </c>
    </row>
    <row r="23" spans="1:3">
      <c r="A23" s="11">
        <v>46115.248831018522</v>
      </c>
      <c r="B23" s="4" t="s">
        <v>5</v>
      </c>
      <c r="C23" s="8" t="s">
        <v>45</v>
      </c>
    </row>
    <row r="24" spans="1:3">
      <c r="A24" s="11">
        <v>46115.251851851855</v>
      </c>
      <c r="B24" s="4" t="s">
        <v>5</v>
      </c>
      <c r="C24" s="8" t="s">
        <v>45</v>
      </c>
    </row>
    <row r="25" spans="1:3">
      <c r="A25" s="11">
        <v>46115.251967592594</v>
      </c>
      <c r="B25" s="4" t="s">
        <v>5</v>
      </c>
      <c r="C25" s="8" t="s">
        <v>45</v>
      </c>
    </row>
    <row r="26" spans="1:3">
      <c r="A26" s="11">
        <v>46115.253078703703</v>
      </c>
      <c r="B26" s="4" t="s">
        <v>5</v>
      </c>
      <c r="C26" s="8" t="s">
        <v>45</v>
      </c>
    </row>
    <row r="27" spans="1:3">
      <c r="A27" s="11">
        <v>46115.253587962965</v>
      </c>
      <c r="B27" s="4" t="s">
        <v>5</v>
      </c>
      <c r="C27" s="8" t="s">
        <v>45</v>
      </c>
    </row>
    <row r="28" spans="1:3">
      <c r="A28" s="11">
        <v>46115.255520833336</v>
      </c>
      <c r="B28" s="4" t="s">
        <v>5</v>
      </c>
      <c r="C28" s="8" t="s">
        <v>45</v>
      </c>
    </row>
    <row r="29" spans="1:3">
      <c r="A29" s="11">
        <v>46115.25675925926</v>
      </c>
      <c r="B29" s="4" t="s">
        <v>5</v>
      </c>
      <c r="C29" s="8" t="s">
        <v>45</v>
      </c>
    </row>
    <row r="30" spans="1:3">
      <c r="A30" s="11">
        <v>46115.257430555554</v>
      </c>
      <c r="B30" s="4" t="s">
        <v>5</v>
      </c>
      <c r="C30" s="8" t="s">
        <v>45</v>
      </c>
    </row>
    <row r="31" spans="1:3">
      <c r="A31" s="11">
        <v>46115.294745370367</v>
      </c>
      <c r="B31" s="4" t="s">
        <v>5</v>
      </c>
      <c r="C31" s="8" t="s">
        <v>45</v>
      </c>
    </row>
    <row r="32" spans="1:3">
      <c r="A32" s="11">
        <v>46115.295231481483</v>
      </c>
      <c r="B32" s="4" t="s">
        <v>5</v>
      </c>
      <c r="C32" s="8" t="s">
        <v>45</v>
      </c>
    </row>
    <row r="33" spans="1:3">
      <c r="A33" s="11">
        <v>46115.296574074076</v>
      </c>
      <c r="B33" s="4" t="s">
        <v>5</v>
      </c>
      <c r="C33" s="8" t="s">
        <v>45</v>
      </c>
    </row>
    <row r="34" spans="1:3">
      <c r="A34" s="11">
        <v>46115.2968287037</v>
      </c>
      <c r="B34" s="4" t="s">
        <v>5</v>
      </c>
      <c r="C34" s="8" t="s">
        <v>45</v>
      </c>
    </row>
    <row r="35" spans="1:3">
      <c r="A35" s="11">
        <v>46115.305254629631</v>
      </c>
      <c r="B35" s="4" t="s">
        <v>5</v>
      </c>
      <c r="C35" s="8" t="s">
        <v>45</v>
      </c>
    </row>
    <row r="36" spans="1:3">
      <c r="A36" s="11">
        <v>46115.30609953704</v>
      </c>
      <c r="B36" s="4" t="s">
        <v>5</v>
      </c>
      <c r="C36" s="8" t="s">
        <v>45</v>
      </c>
    </row>
    <row r="37" spans="1:3">
      <c r="A37" s="11"/>
    </row>
    <row r="38" spans="1:3">
      <c r="A38" s="11"/>
    </row>
    <row r="39" spans="1:3">
      <c r="A39" s="11"/>
    </row>
    <row r="40" spans="1:3">
      <c r="A40" s="11"/>
    </row>
    <row r="41" spans="1:3">
      <c r="A41" s="11"/>
    </row>
    <row r="42" spans="1:3">
      <c r="A42" s="11"/>
    </row>
    <row r="43" spans="1:3">
      <c r="A43" s="11"/>
    </row>
    <row r="44" spans="1:3">
      <c r="A44" s="11"/>
    </row>
    <row r="45" spans="1:3">
      <c r="A45" s="11"/>
    </row>
    <row r="46" spans="1:3">
      <c r="A46" s="11"/>
    </row>
    <row r="47" spans="1:3">
      <c r="A47" s="11"/>
    </row>
    <row r="48" spans="1:3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32"/>
  <sheetViews>
    <sheetView workbookViewId="0">
      <selection activeCell="G19" sqref="G19"/>
    </sheetView>
  </sheetViews>
  <sheetFormatPr defaultRowHeight="18.75"/>
  <cols>
    <col min="1" max="1" width="33.125" style="73" customWidth="1"/>
    <col min="2" max="2" width="19.625" style="66" customWidth="1"/>
    <col min="3" max="3" width="5.125" style="2" customWidth="1"/>
    <col min="4" max="4" width="52" style="1" customWidth="1"/>
    <col min="5" max="5" width="17.25" style="67" customWidth="1"/>
    <col min="6" max="6" width="17.875" style="66" bestFit="1" customWidth="1"/>
    <col min="7" max="7" width="17.875" style="67" bestFit="1" customWidth="1"/>
    <col min="8" max="8" width="15.625" style="66" customWidth="1"/>
    <col min="9" max="9" width="15.625" style="1" customWidth="1"/>
    <col min="10" max="16384" width="9" style="2"/>
  </cols>
  <sheetData>
    <row r="1" spans="1:9" ht="15.75">
      <c r="A1" s="111" t="s">
        <v>41</v>
      </c>
      <c r="B1" s="112" t="s">
        <v>63</v>
      </c>
      <c r="C1" s="113" t="s">
        <v>1</v>
      </c>
      <c r="D1" s="114" t="s">
        <v>2</v>
      </c>
      <c r="E1" s="113" t="s">
        <v>211</v>
      </c>
      <c r="F1" s="113" t="s">
        <v>17</v>
      </c>
      <c r="G1" s="114" t="s">
        <v>18</v>
      </c>
      <c r="H1" s="115" t="s">
        <v>19</v>
      </c>
      <c r="I1" s="2"/>
    </row>
    <row r="2" spans="1:9" ht="15.75">
      <c r="A2" s="116" t="s">
        <v>152</v>
      </c>
      <c r="B2" s="117" t="s">
        <v>153</v>
      </c>
      <c r="C2" s="118"/>
      <c r="D2" s="116" t="s">
        <v>154</v>
      </c>
      <c r="E2" s="117" t="s">
        <v>155</v>
      </c>
      <c r="F2" s="117" t="s">
        <v>156</v>
      </c>
      <c r="G2" s="117" t="s">
        <v>25</v>
      </c>
      <c r="H2" s="119" t="s">
        <v>25</v>
      </c>
      <c r="I2" s="2"/>
    </row>
    <row r="3" spans="1:9" s="66" customFormat="1" ht="15.75">
      <c r="A3" s="120" t="s">
        <v>147</v>
      </c>
      <c r="B3" s="121" t="s">
        <v>145</v>
      </c>
      <c r="C3" s="122" t="s">
        <v>3</v>
      </c>
      <c r="D3" s="120" t="s">
        <v>157</v>
      </c>
      <c r="E3" s="121" t="s">
        <v>25</v>
      </c>
      <c r="F3" s="121" t="s">
        <v>148</v>
      </c>
      <c r="G3" s="121" t="s">
        <v>25</v>
      </c>
      <c r="H3" s="123" t="s">
        <v>25</v>
      </c>
    </row>
    <row r="4" spans="1:9" s="66" customFormat="1" ht="15.75">
      <c r="A4" s="116" t="s">
        <v>168</v>
      </c>
      <c r="B4" s="117" t="s">
        <v>149</v>
      </c>
      <c r="C4" s="118" t="s">
        <v>3</v>
      </c>
      <c r="D4" s="116" t="s">
        <v>158</v>
      </c>
      <c r="E4" s="117" t="s">
        <v>25</v>
      </c>
      <c r="F4" s="117" t="s">
        <v>25</v>
      </c>
      <c r="G4" s="117" t="s">
        <v>25</v>
      </c>
      <c r="H4" s="119" t="s">
        <v>25</v>
      </c>
    </row>
    <row r="5" spans="1:9" ht="31.5">
      <c r="A5" s="120" t="s">
        <v>182</v>
      </c>
      <c r="B5" s="121" t="s">
        <v>98</v>
      </c>
      <c r="C5" s="122" t="s">
        <v>3</v>
      </c>
      <c r="D5" s="120" t="s">
        <v>179</v>
      </c>
      <c r="E5" s="121" t="s">
        <v>210</v>
      </c>
      <c r="F5" s="121" t="s">
        <v>0</v>
      </c>
      <c r="G5" s="121" t="s">
        <v>97</v>
      </c>
      <c r="H5" s="124" t="s">
        <v>24</v>
      </c>
      <c r="I5" s="2"/>
    </row>
    <row r="6" spans="1:9" ht="31.5">
      <c r="A6" s="116" t="s">
        <v>183</v>
      </c>
      <c r="B6" s="117" t="s">
        <v>99</v>
      </c>
      <c r="C6" s="118" t="s">
        <v>3</v>
      </c>
      <c r="D6" s="116" t="s">
        <v>178</v>
      </c>
      <c r="E6" s="117" t="s">
        <v>210</v>
      </c>
      <c r="F6" s="116" t="s">
        <v>24</v>
      </c>
      <c r="G6" s="116" t="s">
        <v>24</v>
      </c>
      <c r="H6" s="125" t="s">
        <v>24</v>
      </c>
      <c r="I6" s="2"/>
    </row>
    <row r="7" spans="1:9" ht="31.5">
      <c r="A7" s="120" t="s">
        <v>69</v>
      </c>
      <c r="B7" s="121" t="s">
        <v>70</v>
      </c>
      <c r="C7" s="122" t="s">
        <v>3</v>
      </c>
      <c r="D7" s="120" t="s">
        <v>71</v>
      </c>
      <c r="E7" s="121" t="s">
        <v>209</v>
      </c>
      <c r="F7" s="120" t="s">
        <v>62</v>
      </c>
      <c r="G7" s="120" t="s">
        <v>24</v>
      </c>
      <c r="H7" s="123" t="s">
        <v>24</v>
      </c>
      <c r="I7" s="2"/>
    </row>
    <row r="8" spans="1:9" ht="31.5">
      <c r="A8" s="116" t="s">
        <v>39</v>
      </c>
      <c r="B8" s="117" t="s">
        <v>10</v>
      </c>
      <c r="C8" s="118" t="s">
        <v>3</v>
      </c>
      <c r="D8" s="116" t="s">
        <v>57</v>
      </c>
      <c r="E8" s="117" t="s">
        <v>209</v>
      </c>
      <c r="F8" s="117" t="s">
        <v>61</v>
      </c>
      <c r="G8" s="116" t="s">
        <v>62</v>
      </c>
      <c r="H8" s="119" t="s">
        <v>25</v>
      </c>
      <c r="I8" s="2"/>
    </row>
    <row r="9" spans="1:9" ht="31.5">
      <c r="A9" s="120" t="s">
        <v>33</v>
      </c>
      <c r="B9" s="121" t="s">
        <v>11</v>
      </c>
      <c r="C9" s="122" t="s">
        <v>3</v>
      </c>
      <c r="D9" s="120" t="s">
        <v>56</v>
      </c>
      <c r="E9" s="121" t="s">
        <v>209</v>
      </c>
      <c r="F9" s="120" t="s">
        <v>48</v>
      </c>
      <c r="G9" s="120" t="s">
        <v>24</v>
      </c>
      <c r="H9" s="123" t="s">
        <v>24</v>
      </c>
      <c r="I9" s="2"/>
    </row>
    <row r="10" spans="1:9" ht="15.75">
      <c r="A10" s="116" t="s">
        <v>31</v>
      </c>
      <c r="B10" s="117" t="s">
        <v>28</v>
      </c>
      <c r="C10" s="118" t="s">
        <v>3</v>
      </c>
      <c r="D10" s="116" t="s">
        <v>58</v>
      </c>
      <c r="E10" s="117" t="s">
        <v>209</v>
      </c>
      <c r="F10" s="117" t="s">
        <v>24</v>
      </c>
      <c r="G10" s="116" t="s">
        <v>24</v>
      </c>
      <c r="H10" s="119" t="s">
        <v>24</v>
      </c>
      <c r="I10" s="2"/>
    </row>
    <row r="11" spans="1:9" ht="15.75">
      <c r="A11" s="120" t="s">
        <v>37</v>
      </c>
      <c r="B11" s="121" t="s">
        <v>26</v>
      </c>
      <c r="C11" s="122" t="s">
        <v>3</v>
      </c>
      <c r="D11" s="120" t="s">
        <v>49</v>
      </c>
      <c r="E11" s="121" t="s">
        <v>208</v>
      </c>
      <c r="F11" s="121" t="s">
        <v>59</v>
      </c>
      <c r="G11" s="120" t="s">
        <v>24</v>
      </c>
      <c r="H11" s="124" t="s">
        <v>24</v>
      </c>
      <c r="I11" s="2"/>
    </row>
    <row r="12" spans="1:9" ht="15.75">
      <c r="A12" s="116" t="s">
        <v>35</v>
      </c>
      <c r="B12" s="117" t="s">
        <v>12</v>
      </c>
      <c r="C12" s="118" t="s">
        <v>3</v>
      </c>
      <c r="D12" s="116" t="s">
        <v>50</v>
      </c>
      <c r="E12" s="117" t="s">
        <v>207</v>
      </c>
      <c r="F12" s="117" t="s">
        <v>60</v>
      </c>
      <c r="G12" s="116" t="s">
        <v>24</v>
      </c>
      <c r="H12" s="119" t="s">
        <v>24</v>
      </c>
      <c r="I12" s="2"/>
    </row>
    <row r="13" spans="1:9" ht="15.75">
      <c r="A13" s="120" t="s">
        <v>30</v>
      </c>
      <c r="B13" s="121" t="s">
        <v>13</v>
      </c>
      <c r="C13" s="122" t="s">
        <v>3</v>
      </c>
      <c r="D13" s="120" t="s">
        <v>205</v>
      </c>
      <c r="E13" s="121" t="s">
        <v>207</v>
      </c>
      <c r="F13" s="121" t="s">
        <v>60</v>
      </c>
      <c r="G13" s="120" t="s">
        <v>24</v>
      </c>
      <c r="H13" s="123" t="s">
        <v>24</v>
      </c>
      <c r="I13" s="2"/>
    </row>
    <row r="14" spans="1:9" ht="15.75">
      <c r="A14" s="120" t="s">
        <v>201</v>
      </c>
      <c r="B14" s="121" t="s">
        <v>202</v>
      </c>
      <c r="C14" s="122" t="s">
        <v>3</v>
      </c>
      <c r="D14" s="120" t="s">
        <v>206</v>
      </c>
      <c r="E14" s="121" t="s">
        <v>203</v>
      </c>
      <c r="F14" s="121" t="s">
        <v>204</v>
      </c>
      <c r="G14" s="120" t="s">
        <v>24</v>
      </c>
      <c r="H14" s="123" t="s">
        <v>24</v>
      </c>
      <c r="I14" s="2"/>
    </row>
    <row r="15" spans="1:9" ht="15.75">
      <c r="A15" s="116" t="s">
        <v>40</v>
      </c>
      <c r="B15" s="117" t="s">
        <v>14</v>
      </c>
      <c r="C15" s="118" t="s">
        <v>4</v>
      </c>
      <c r="D15" s="116" t="s">
        <v>51</v>
      </c>
      <c r="E15" s="116" t="s">
        <v>24</v>
      </c>
      <c r="F15" s="116" t="s">
        <v>24</v>
      </c>
      <c r="G15" s="116" t="s">
        <v>24</v>
      </c>
      <c r="H15" s="125" t="s">
        <v>24</v>
      </c>
      <c r="I15" s="2"/>
    </row>
    <row r="16" spans="1:9" ht="15.75">
      <c r="A16" s="120" t="s">
        <v>173</v>
      </c>
      <c r="B16" s="121" t="s">
        <v>181</v>
      </c>
      <c r="C16" s="122" t="s">
        <v>3</v>
      </c>
      <c r="D16" s="120" t="s">
        <v>180</v>
      </c>
      <c r="E16" s="121" t="s">
        <v>208</v>
      </c>
      <c r="F16" s="121" t="s">
        <v>209</v>
      </c>
      <c r="G16" s="120"/>
      <c r="H16" s="123"/>
      <c r="I16" s="2"/>
    </row>
    <row r="17" spans="1:9" ht="31.5">
      <c r="A17" s="116" t="s">
        <v>175</v>
      </c>
      <c r="B17" s="117" t="s">
        <v>176</v>
      </c>
      <c r="C17" s="118" t="s">
        <v>3</v>
      </c>
      <c r="D17" s="116" t="s">
        <v>177</v>
      </c>
      <c r="E17" s="117" t="s">
        <v>208</v>
      </c>
      <c r="F17" s="117"/>
      <c r="G17" s="116"/>
      <c r="H17" s="119"/>
      <c r="I17" s="2"/>
    </row>
    <row r="18" spans="1:9" ht="15.75">
      <c r="A18" s="120" t="s">
        <v>184</v>
      </c>
      <c r="B18" s="121" t="s">
        <v>186</v>
      </c>
      <c r="C18" s="122" t="s">
        <v>3</v>
      </c>
      <c r="D18" s="120" t="s">
        <v>190</v>
      </c>
      <c r="E18" s="121" t="s">
        <v>203</v>
      </c>
      <c r="F18" s="121" t="s">
        <v>209</v>
      </c>
      <c r="G18" s="120" t="s">
        <v>208</v>
      </c>
      <c r="H18" s="123" t="s">
        <v>188</v>
      </c>
      <c r="I18" s="2"/>
    </row>
    <row r="19" spans="1:9" ht="31.5">
      <c r="A19" s="116" t="s">
        <v>185</v>
      </c>
      <c r="B19" s="117" t="s">
        <v>187</v>
      </c>
      <c r="C19" s="118" t="s">
        <v>3</v>
      </c>
      <c r="D19" s="116" t="s">
        <v>189</v>
      </c>
      <c r="E19" s="117" t="s">
        <v>203</v>
      </c>
      <c r="F19" s="117"/>
      <c r="G19" s="116"/>
      <c r="H19" s="119"/>
      <c r="I19" s="2"/>
    </row>
    <row r="20" spans="1:9" ht="15.75">
      <c r="A20" s="120" t="s">
        <v>136</v>
      </c>
      <c r="B20" s="121" t="s">
        <v>137</v>
      </c>
      <c r="C20" s="122" t="s">
        <v>3</v>
      </c>
      <c r="D20" s="120" t="s">
        <v>110</v>
      </c>
      <c r="E20" s="120" t="s">
        <v>213</v>
      </c>
      <c r="F20" s="120" t="s">
        <v>112</v>
      </c>
      <c r="G20" s="120" t="s">
        <v>24</v>
      </c>
      <c r="H20" s="124" t="s">
        <v>24</v>
      </c>
      <c r="I20" s="2"/>
    </row>
    <row r="21" spans="1:9" ht="15.75">
      <c r="A21" s="116" t="s">
        <v>127</v>
      </c>
      <c r="B21" s="117" t="s">
        <v>128</v>
      </c>
      <c r="C21" s="118" t="s">
        <v>134</v>
      </c>
      <c r="D21" s="116" t="s">
        <v>129</v>
      </c>
      <c r="E21" s="116" t="s">
        <v>213</v>
      </c>
      <c r="F21" s="116" t="s">
        <v>24</v>
      </c>
      <c r="G21" s="116" t="s">
        <v>24</v>
      </c>
      <c r="H21" s="125" t="s">
        <v>24</v>
      </c>
      <c r="I21" s="2"/>
    </row>
    <row r="22" spans="1:9" ht="15.75">
      <c r="A22" s="120" t="s">
        <v>142</v>
      </c>
      <c r="B22" s="121" t="s">
        <v>140</v>
      </c>
      <c r="C22" s="122" t="s">
        <v>130</v>
      </c>
      <c r="D22" s="120" t="s">
        <v>131</v>
      </c>
      <c r="E22" s="121" t="s">
        <v>214</v>
      </c>
      <c r="F22" s="121" t="s">
        <v>212</v>
      </c>
      <c r="G22" s="120" t="s">
        <v>43</v>
      </c>
      <c r="H22" s="124" t="s">
        <v>25</v>
      </c>
      <c r="I22" s="2"/>
    </row>
    <row r="23" spans="1:9" ht="15.75">
      <c r="A23" s="116" t="s">
        <v>132</v>
      </c>
      <c r="B23" s="117" t="s">
        <v>139</v>
      </c>
      <c r="C23" s="118" t="s">
        <v>130</v>
      </c>
      <c r="D23" s="116" t="s">
        <v>133</v>
      </c>
      <c r="E23" s="116" t="s">
        <v>214</v>
      </c>
      <c r="F23" s="116" t="s">
        <v>25</v>
      </c>
      <c r="G23" s="116" t="s">
        <v>25</v>
      </c>
      <c r="H23" s="125" t="s">
        <v>25</v>
      </c>
      <c r="I23" s="2"/>
    </row>
    <row r="24" spans="1:9" ht="15.75">
      <c r="A24" s="120" t="s">
        <v>42</v>
      </c>
      <c r="B24" s="121" t="s">
        <v>8</v>
      </c>
      <c r="C24" s="122" t="s">
        <v>3</v>
      </c>
      <c r="D24" s="120" t="s">
        <v>52</v>
      </c>
      <c r="E24" s="120" t="s">
        <v>24</v>
      </c>
      <c r="F24" s="120" t="s">
        <v>24</v>
      </c>
      <c r="G24" s="120" t="s">
        <v>24</v>
      </c>
      <c r="H24" s="124" t="s">
        <v>24</v>
      </c>
      <c r="I24" s="2"/>
    </row>
    <row r="25" spans="1:9" ht="15.75">
      <c r="A25" s="116" t="s">
        <v>104</v>
      </c>
      <c r="B25" s="117" t="s">
        <v>9</v>
      </c>
      <c r="C25" s="118" t="s">
        <v>3</v>
      </c>
      <c r="D25" s="116" t="s">
        <v>53</v>
      </c>
      <c r="E25" s="116" t="s">
        <v>24</v>
      </c>
      <c r="F25" s="116" t="s">
        <v>24</v>
      </c>
      <c r="G25" s="116" t="s">
        <v>24</v>
      </c>
      <c r="H25" s="125" t="s">
        <v>24</v>
      </c>
      <c r="I25" s="2"/>
    </row>
    <row r="26" spans="1:9" ht="15.75">
      <c r="A26" s="120" t="s">
        <v>195</v>
      </c>
      <c r="B26" s="121" t="s">
        <v>194</v>
      </c>
      <c r="C26" s="122" t="s">
        <v>3</v>
      </c>
      <c r="D26" s="120" t="s">
        <v>196</v>
      </c>
      <c r="E26" s="120" t="s">
        <v>25</v>
      </c>
      <c r="F26" s="120" t="s">
        <v>193</v>
      </c>
      <c r="G26" s="120" t="s">
        <v>24</v>
      </c>
      <c r="H26" s="124" t="s">
        <v>24</v>
      </c>
      <c r="I26" s="2"/>
    </row>
    <row r="27" spans="1:9" ht="15.75">
      <c r="A27" s="116"/>
      <c r="B27" s="117"/>
      <c r="C27" s="118"/>
      <c r="D27" s="116" t="s">
        <v>192</v>
      </c>
      <c r="E27" s="116" t="s">
        <v>24</v>
      </c>
      <c r="F27" s="116" t="s">
        <v>24</v>
      </c>
      <c r="G27" s="116" t="s">
        <v>24</v>
      </c>
      <c r="H27" s="125" t="s">
        <v>24</v>
      </c>
      <c r="I27" s="2"/>
    </row>
    <row r="28" spans="1:9" ht="15.75">
      <c r="A28" s="120"/>
      <c r="B28" s="121"/>
      <c r="C28" s="122"/>
      <c r="D28" s="120" t="s">
        <v>54</v>
      </c>
      <c r="E28" s="120" t="s">
        <v>24</v>
      </c>
      <c r="F28" s="120" t="s">
        <v>24</v>
      </c>
      <c r="G28" s="120" t="s">
        <v>24</v>
      </c>
      <c r="H28" s="124" t="s">
        <v>24</v>
      </c>
      <c r="I28" s="2"/>
    </row>
    <row r="29" spans="1:9" ht="15.75">
      <c r="A29" s="116"/>
      <c r="B29" s="117"/>
      <c r="C29" s="118"/>
      <c r="D29" s="116" t="s">
        <v>55</v>
      </c>
      <c r="E29" s="116" t="s">
        <v>24</v>
      </c>
      <c r="F29" s="116" t="s">
        <v>24</v>
      </c>
      <c r="G29" s="116" t="s">
        <v>24</v>
      </c>
      <c r="H29" s="125" t="s">
        <v>24</v>
      </c>
      <c r="I29" s="2"/>
    </row>
    <row r="30" spans="1:9" ht="15.75">
      <c r="A30" s="120"/>
      <c r="B30" s="121"/>
      <c r="C30" s="122"/>
      <c r="D30" s="120"/>
      <c r="E30" s="120" t="s">
        <v>24</v>
      </c>
      <c r="F30" s="120" t="s">
        <v>24</v>
      </c>
      <c r="G30" s="120" t="s">
        <v>24</v>
      </c>
      <c r="H30" s="124" t="s">
        <v>24</v>
      </c>
      <c r="I30" s="2"/>
    </row>
    <row r="31" spans="1:9" ht="15.75">
      <c r="A31" s="116"/>
      <c r="B31" s="117"/>
      <c r="C31" s="118"/>
      <c r="D31" s="116"/>
      <c r="E31" s="117"/>
      <c r="F31" s="117"/>
      <c r="G31" s="116"/>
      <c r="H31" s="119"/>
      <c r="I31" s="2"/>
    </row>
    <row r="32" spans="1:9" ht="15.75">
      <c r="A32" s="126"/>
      <c r="B32" s="127"/>
      <c r="C32" s="128"/>
      <c r="D32" s="126"/>
      <c r="E32" s="127"/>
      <c r="F32" s="127"/>
      <c r="G32" s="126"/>
      <c r="H32" s="65"/>
      <c r="I32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メイン</vt:lpstr>
      <vt:lpstr>●年月日置換</vt:lpstr>
      <vt:lpstr>●フォルダ巡回</vt:lpstr>
      <vt:lpstr>●Excelコピー</vt:lpstr>
      <vt:lpstr>●Access</vt:lpstr>
      <vt:lpstr>●Template</vt:lpstr>
      <vt:lpstr>ログ</vt:lpstr>
      <vt:lpstr>アクション情報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2026-04-02T22:20:57Z</dcterms:modified>
</cp:coreProperties>
</file>